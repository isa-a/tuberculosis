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malanarinaminpathy/Dropbox/1 Main/0 WHO work/00 Elimination/Coding/Coding 2024/WHO all groups/England - submitted 19Jun25/"/>
    </mc:Choice>
  </mc:AlternateContent>
  <xr:revisionPtr revIDLastSave="0" documentId="13_ncr:1_{3ADE82FD-1403-D04E-90E0-E6CAAAC14278}" xr6:coauthVersionLast="47" xr6:coauthVersionMax="47" xr10:uidLastSave="{00000000-0000-0000-0000-000000000000}"/>
  <bookViews>
    <workbookView xWindow="0" yWindow="500" windowWidth="47880" windowHeight="21780" activeTab="2" xr2:uid="{00000000-000D-0000-FFFF-FFFF00000000}"/>
  </bookViews>
  <sheets>
    <sheet name="Prevalence Rates" sheetId="2" r:id="rId1"/>
    <sheet name="Incidence Rates" sheetId="1" r:id="rId2"/>
    <sheet name="Incidence Numb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</calcChain>
</file>

<file path=xl/sharedStrings.xml><?xml version="1.0" encoding="utf-8"?>
<sst xmlns="http://schemas.openxmlformats.org/spreadsheetml/2006/main" count="90" uniqueCount="18">
  <si>
    <t>Lo</t>
  </si>
  <si>
    <t>Mid</t>
  </si>
  <si>
    <t>Hi</t>
  </si>
  <si>
    <t>Improve treatment outcomes</t>
  </si>
  <si>
    <t>Enhance TPT coverage in recent migrants</t>
  </si>
  <si>
    <t>Accelerated case-finding, foreign-born</t>
  </si>
  <si>
    <t>Accelerated case-finding, UK-born</t>
  </si>
  <si>
    <t>Pre-entry screening for TBI</t>
  </si>
  <si>
    <t>Baseline</t>
  </si>
  <si>
    <t>All numbers show rates per 100,000 population</t>
  </si>
  <si>
    <t>Lo', 'Mid' and 'Hi' denote respectively, 2.5th, 50th and 97.5th percentiles</t>
  </si>
  <si>
    <t>Intervention scenario</t>
  </si>
  <si>
    <t>Intervention scenarios are as described in the Powerpoint file shared earlier</t>
  </si>
  <si>
    <t>Notes:</t>
  </si>
  <si>
    <t>Simulated prevalence</t>
  </si>
  <si>
    <t>Simulated incidence</t>
  </si>
  <si>
    <t>Simulated incidence (in thousands)</t>
  </si>
  <si>
    <t>All numbers show numbers in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</si>
</sst>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u/>
      <sz val="13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2" xfId="0" applyFont="1" applyBorder="1"/>
    <xf numFmtId="164" fontId="0" fillId="0" borderId="2" xfId="0" applyNumberFormat="1" applyBorder="1"/>
    <xf numFmtId="0" fontId="1" fillId="0" borderId="1" xfId="0" applyFont="1" applyBorder="1"/>
    <xf numFmtId="164" fontId="0" fillId="0" borderId="1" xfId="0" applyNumberFormat="1" applyBorder="1"/>
    <xf numFmtId="0" fontId="1" fillId="0" borderId="3" xfId="0" applyFont="1" applyBorder="1"/>
    <xf numFmtId="164" fontId="0" fillId="0" borderId="3" xfId="0" applyNumberFormat="1" applyBorder="1"/>
    <xf numFmtId="0" fontId="0" fillId="0" borderId="5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0" fontId="1" fillId="0" borderId="0" xfId="0" quotePrefix="1" applyFont="1"/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2" fontId="0" fillId="0" borderId="6" xfId="0" applyNumberFormat="1" applyBorder="1"/>
    <xf numFmtId="2" fontId="0" fillId="0" borderId="2" xfId="0" applyNumberFormat="1" applyBorder="1"/>
    <xf numFmtId="2" fontId="0" fillId="0" borderId="5" xfId="0" applyNumberFormat="1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3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9239-DE8A-A74B-B620-AF2D9C5E718F}">
  <dimension ref="A2:AB28"/>
  <sheetViews>
    <sheetView zoomScale="150" zoomScaleNormal="150" workbookViewId="0">
      <selection activeCell="C3" sqref="C3"/>
    </sheetView>
  </sheetViews>
  <sheetFormatPr baseColWidth="10" defaultColWidth="8.83203125" defaultRowHeight="15" x14ac:dyDescent="0.2"/>
  <cols>
    <col min="1" max="1" width="17.83203125" customWidth="1"/>
    <col min="3" max="28" width="11.6640625" customWidth="1"/>
  </cols>
  <sheetData>
    <row r="2" spans="1:28" ht="17" x14ac:dyDescent="0.2">
      <c r="A2" s="19" t="s">
        <v>14</v>
      </c>
    </row>
    <row r="4" spans="1:28" x14ac:dyDescent="0.2">
      <c r="A4" s="14" t="s">
        <v>11</v>
      </c>
      <c r="C4" s="9">
        <v>2015</v>
      </c>
      <c r="D4">
        <f t="shared" ref="D4:AB4" si="0">C4+1</f>
        <v>2016</v>
      </c>
      <c r="E4">
        <f t="shared" si="0"/>
        <v>2017</v>
      </c>
      <c r="F4">
        <f t="shared" si="0"/>
        <v>2018</v>
      </c>
      <c r="G4">
        <f t="shared" si="0"/>
        <v>2019</v>
      </c>
      <c r="H4">
        <f t="shared" si="0"/>
        <v>2020</v>
      </c>
      <c r="I4">
        <f t="shared" si="0"/>
        <v>2021</v>
      </c>
      <c r="J4">
        <f t="shared" si="0"/>
        <v>2022</v>
      </c>
      <c r="K4">
        <f t="shared" si="0"/>
        <v>2023</v>
      </c>
      <c r="L4">
        <f t="shared" si="0"/>
        <v>2024</v>
      </c>
      <c r="M4">
        <f t="shared" si="0"/>
        <v>2025</v>
      </c>
      <c r="N4">
        <f t="shared" si="0"/>
        <v>2026</v>
      </c>
      <c r="O4">
        <f t="shared" si="0"/>
        <v>2027</v>
      </c>
      <c r="P4">
        <f t="shared" si="0"/>
        <v>2028</v>
      </c>
      <c r="Q4">
        <f t="shared" si="0"/>
        <v>2029</v>
      </c>
      <c r="R4">
        <f t="shared" si="0"/>
        <v>2030</v>
      </c>
      <c r="S4">
        <f t="shared" si="0"/>
        <v>2031</v>
      </c>
      <c r="T4">
        <f t="shared" si="0"/>
        <v>2032</v>
      </c>
      <c r="U4">
        <f t="shared" si="0"/>
        <v>2033</v>
      </c>
      <c r="V4">
        <f t="shared" si="0"/>
        <v>2034</v>
      </c>
      <c r="W4">
        <f t="shared" si="0"/>
        <v>2035</v>
      </c>
      <c r="X4">
        <f t="shared" si="0"/>
        <v>2036</v>
      </c>
      <c r="Y4">
        <f t="shared" si="0"/>
        <v>2037</v>
      </c>
      <c r="Z4">
        <f t="shared" si="0"/>
        <v>2038</v>
      </c>
      <c r="AA4">
        <f t="shared" si="0"/>
        <v>2039</v>
      </c>
      <c r="AB4">
        <f t="shared" si="0"/>
        <v>2040</v>
      </c>
    </row>
    <row r="5" spans="1:28" x14ac:dyDescent="0.2">
      <c r="A5" s="15" t="s">
        <v>8</v>
      </c>
      <c r="B5" s="3" t="s">
        <v>0</v>
      </c>
      <c r="C5" s="11">
        <v>14.140909939682043</v>
      </c>
      <c r="D5" s="4">
        <v>13.180565607599235</v>
      </c>
      <c r="E5" s="4">
        <v>12.255361624579825</v>
      </c>
      <c r="F5" s="4">
        <v>11.549282387185727</v>
      </c>
      <c r="G5" s="4">
        <v>11.094277173026228</v>
      </c>
      <c r="H5" s="4">
        <v>10.635176743084475</v>
      </c>
      <c r="I5" s="4">
        <v>10.539844843090016</v>
      </c>
      <c r="J5" s="4">
        <v>11.54955261936065</v>
      </c>
      <c r="K5" s="4">
        <v>13.288474883002724</v>
      </c>
      <c r="L5" s="4">
        <v>14.875833824547335</v>
      </c>
      <c r="M5" s="4">
        <v>16.025906996102702</v>
      </c>
      <c r="N5" s="4">
        <v>16.869401049351126</v>
      </c>
      <c r="O5" s="4">
        <v>17.494443398461161</v>
      </c>
      <c r="P5" s="4">
        <v>17.95904103210755</v>
      </c>
      <c r="Q5" s="4">
        <v>18.304037343196107</v>
      </c>
      <c r="R5" s="4">
        <v>18.55923672985071</v>
      </c>
      <c r="S5" s="4">
        <v>18.746760374495288</v>
      </c>
      <c r="T5" s="4">
        <v>18.883174736288517</v>
      </c>
      <c r="U5" s="4">
        <v>18.980965799820495</v>
      </c>
      <c r="V5" s="4">
        <v>19.049585935995665</v>
      </c>
      <c r="W5" s="4">
        <v>19.096213318459782</v>
      </c>
      <c r="X5" s="4">
        <v>19.126310803162522</v>
      </c>
      <c r="Y5" s="4">
        <v>19.144040646510199</v>
      </c>
      <c r="Z5" s="4">
        <v>19.152575399581295</v>
      </c>
      <c r="AA5" s="4">
        <v>19.154332468747523</v>
      </c>
      <c r="AB5" s="4">
        <v>19.151152297301994</v>
      </c>
    </row>
    <row r="6" spans="1:28" x14ac:dyDescent="0.2">
      <c r="A6" s="16"/>
      <c r="B6" s="5" t="s">
        <v>1</v>
      </c>
      <c r="C6" s="10">
        <v>19.745742797217254</v>
      </c>
      <c r="D6" s="6">
        <v>18.62982173678424</v>
      </c>
      <c r="E6" s="6">
        <v>17.504720589950207</v>
      </c>
      <c r="F6" s="6">
        <v>16.596395334946841</v>
      </c>
      <c r="G6" s="6">
        <v>15.911590204006348</v>
      </c>
      <c r="H6" s="6">
        <v>15.243116208185878</v>
      </c>
      <c r="I6" s="6">
        <v>14.922361376445606</v>
      </c>
      <c r="J6" s="6">
        <v>15.874317352037002</v>
      </c>
      <c r="K6" s="6">
        <v>17.753105650381091</v>
      </c>
      <c r="L6" s="6">
        <v>19.670136762177126</v>
      </c>
      <c r="M6" s="6">
        <v>21.165856492385934</v>
      </c>
      <c r="N6" s="6">
        <v>22.389070257201922</v>
      </c>
      <c r="O6" s="6">
        <v>23.37487958706479</v>
      </c>
      <c r="P6" s="6">
        <v>24.164934055655166</v>
      </c>
      <c r="Q6" s="6">
        <v>24.788944509857775</v>
      </c>
      <c r="R6" s="6">
        <v>25.264558704702843</v>
      </c>
      <c r="S6" s="6">
        <v>25.635868216618487</v>
      </c>
      <c r="T6" s="6">
        <v>25.922775209897701</v>
      </c>
      <c r="U6" s="6">
        <v>26.141804066055037</v>
      </c>
      <c r="V6" s="6">
        <v>26.306572390022783</v>
      </c>
      <c r="W6" s="6">
        <v>26.428224498201836</v>
      </c>
      <c r="X6" s="6">
        <v>26.515823134841558</v>
      </c>
      <c r="Y6" s="6">
        <v>26.57669543085925</v>
      </c>
      <c r="Z6" s="6">
        <v>26.616733815231509</v>
      </c>
      <c r="AA6" s="6">
        <v>26.640653186845185</v>
      </c>
      <c r="AB6" s="6">
        <v>26.652208587088161</v>
      </c>
    </row>
    <row r="7" spans="1:28" x14ac:dyDescent="0.2">
      <c r="A7" s="17"/>
      <c r="B7" s="7" t="s">
        <v>2</v>
      </c>
      <c r="C7" s="12">
        <v>30.323164168567551</v>
      </c>
      <c r="D7" s="8">
        <v>28.868544609544678</v>
      </c>
      <c r="E7" s="8">
        <v>27.446906861865326</v>
      </c>
      <c r="F7" s="8">
        <v>26.191783259856464</v>
      </c>
      <c r="G7" s="8">
        <v>25.194208520615984</v>
      </c>
      <c r="H7" s="8">
        <v>24.241196762958904</v>
      </c>
      <c r="I7" s="8">
        <v>23.648358317568899</v>
      </c>
      <c r="J7" s="8">
        <v>24.294304182529665</v>
      </c>
      <c r="K7" s="8">
        <v>26.032187269765743</v>
      </c>
      <c r="L7" s="8">
        <v>28.034419820853351</v>
      </c>
      <c r="M7" s="8">
        <v>29.979629557778232</v>
      </c>
      <c r="N7" s="8">
        <v>31.66042498194431</v>
      </c>
      <c r="O7" s="8">
        <v>33.096562228294552</v>
      </c>
      <c r="P7" s="8">
        <v>34.194974465565139</v>
      </c>
      <c r="Q7" s="8">
        <v>35.106597390131832</v>
      </c>
      <c r="R7" s="8">
        <v>35.949222102213469</v>
      </c>
      <c r="S7" s="8">
        <v>36.667580056216764</v>
      </c>
      <c r="T7" s="8">
        <v>37.256940485633507</v>
      </c>
      <c r="U7" s="8">
        <v>37.735662843182908</v>
      </c>
      <c r="V7" s="8">
        <v>38.120419266063699</v>
      </c>
      <c r="W7" s="8">
        <v>38.42607237601969</v>
      </c>
      <c r="X7" s="8">
        <v>38.66567166916434</v>
      </c>
      <c r="Y7" s="8">
        <v>38.850530713624522</v>
      </c>
      <c r="Z7" s="8">
        <v>38.990353691887108</v>
      </c>
      <c r="AA7" s="8">
        <v>39.093387645054896</v>
      </c>
      <c r="AB7" s="8">
        <v>39.166584716373876</v>
      </c>
    </row>
    <row r="8" spans="1:28" x14ac:dyDescent="0.2">
      <c r="A8" s="15" t="s">
        <v>3</v>
      </c>
      <c r="B8" s="3" t="s">
        <v>0</v>
      </c>
      <c r="C8" s="11">
        <v>14.140909939682043</v>
      </c>
      <c r="D8" s="4">
        <v>13.180565607599235</v>
      </c>
      <c r="E8" s="4">
        <v>12.255361624579825</v>
      </c>
      <c r="F8" s="4">
        <v>11.549282387185727</v>
      </c>
      <c r="G8" s="4">
        <v>11.094277173026228</v>
      </c>
      <c r="H8" s="4">
        <v>10.635176743084475</v>
      </c>
      <c r="I8" s="4">
        <v>10.539844843090016</v>
      </c>
      <c r="J8" s="4">
        <v>11.54955261936065</v>
      </c>
      <c r="K8" s="4">
        <v>13.288474883002724</v>
      </c>
      <c r="L8" s="4">
        <v>14.875833824547335</v>
      </c>
      <c r="M8" s="4">
        <v>16.025906996102702</v>
      </c>
      <c r="N8" s="4">
        <v>16.869400992999736</v>
      </c>
      <c r="O8" s="4">
        <v>17.46805025871496</v>
      </c>
      <c r="P8" s="4">
        <v>17.805652999568842</v>
      </c>
      <c r="Q8" s="4">
        <v>17.906929036657143</v>
      </c>
      <c r="R8" s="4">
        <v>17.819849425062817</v>
      </c>
      <c r="S8" s="4">
        <v>17.619547145984665</v>
      </c>
      <c r="T8" s="4">
        <v>17.399493421261894</v>
      </c>
      <c r="U8" s="4">
        <v>17.192318220093235</v>
      </c>
      <c r="V8" s="4">
        <v>17.007041774125774</v>
      </c>
      <c r="W8" s="4">
        <v>16.844331822696969</v>
      </c>
      <c r="X8" s="4">
        <v>16.701668142933737</v>
      </c>
      <c r="Y8" s="4">
        <v>16.575672120289944</v>
      </c>
      <c r="Z8" s="4">
        <v>16.463111502036394</v>
      </c>
      <c r="AA8" s="4">
        <v>16.361257071504795</v>
      </c>
      <c r="AB8" s="4">
        <v>16.267945264953745</v>
      </c>
    </row>
    <row r="9" spans="1:28" x14ac:dyDescent="0.2">
      <c r="A9" s="16"/>
      <c r="B9" s="5" t="s">
        <v>1</v>
      </c>
      <c r="C9" s="10">
        <v>19.745742797217254</v>
      </c>
      <c r="D9" s="6">
        <v>18.62982173678424</v>
      </c>
      <c r="E9" s="6">
        <v>17.504720589950207</v>
      </c>
      <c r="F9" s="6">
        <v>16.596395334946841</v>
      </c>
      <c r="G9" s="6">
        <v>15.911590204006348</v>
      </c>
      <c r="H9" s="6">
        <v>15.243116208185878</v>
      </c>
      <c r="I9" s="6">
        <v>14.922361376445606</v>
      </c>
      <c r="J9" s="6">
        <v>15.874317352037002</v>
      </c>
      <c r="K9" s="6">
        <v>17.753105650381091</v>
      </c>
      <c r="L9" s="6">
        <v>19.670136762177126</v>
      </c>
      <c r="M9" s="6">
        <v>21.165856492385934</v>
      </c>
      <c r="N9" s="6">
        <v>22.38906980403214</v>
      </c>
      <c r="O9" s="6">
        <v>23.347334677023625</v>
      </c>
      <c r="P9" s="6">
        <v>23.997905713316815</v>
      </c>
      <c r="Q9" s="6">
        <v>24.345813590727669</v>
      </c>
      <c r="R9" s="6">
        <v>24.431127868492229</v>
      </c>
      <c r="S9" s="6">
        <v>24.332115231886672</v>
      </c>
      <c r="T9" s="6">
        <v>24.157740932231885</v>
      </c>
      <c r="U9" s="6">
        <v>23.958627398590998</v>
      </c>
      <c r="V9" s="6">
        <v>23.757596193296152</v>
      </c>
      <c r="W9" s="6">
        <v>23.564995545371534</v>
      </c>
      <c r="X9" s="6">
        <v>23.384787837117258</v>
      </c>
      <c r="Y9" s="6">
        <v>23.217758386707349</v>
      </c>
      <c r="Z9" s="6">
        <v>23.060817775993133</v>
      </c>
      <c r="AA9" s="6">
        <v>22.908550107302148</v>
      </c>
      <c r="AB9" s="6">
        <v>22.770408045308692</v>
      </c>
    </row>
    <row r="10" spans="1:28" x14ac:dyDescent="0.2">
      <c r="A10" s="17"/>
      <c r="B10" s="7" t="s">
        <v>2</v>
      </c>
      <c r="C10" s="12">
        <v>30.323164168567551</v>
      </c>
      <c r="D10" s="8">
        <v>28.868544609544678</v>
      </c>
      <c r="E10" s="8">
        <v>27.446906861865326</v>
      </c>
      <c r="F10" s="8">
        <v>26.191783259856464</v>
      </c>
      <c r="G10" s="8">
        <v>25.194208520615984</v>
      </c>
      <c r="H10" s="8">
        <v>24.241196762958904</v>
      </c>
      <c r="I10" s="8">
        <v>23.648358317568899</v>
      </c>
      <c r="J10" s="8">
        <v>24.294304182529665</v>
      </c>
      <c r="K10" s="8">
        <v>26.032187269765743</v>
      </c>
      <c r="L10" s="8">
        <v>28.034419820853351</v>
      </c>
      <c r="M10" s="8">
        <v>29.979629557778232</v>
      </c>
      <c r="N10" s="8">
        <v>31.660423684150206</v>
      </c>
      <c r="O10" s="8">
        <v>33.06451929289441</v>
      </c>
      <c r="P10" s="8">
        <v>34.030313253516077</v>
      </c>
      <c r="Q10" s="8">
        <v>34.65452339643879</v>
      </c>
      <c r="R10" s="8">
        <v>34.989267526173194</v>
      </c>
      <c r="S10" s="8">
        <v>35.097920407763155</v>
      </c>
      <c r="T10" s="8">
        <v>35.083983919248105</v>
      </c>
      <c r="U10" s="8">
        <v>35.001852047310649</v>
      </c>
      <c r="V10" s="8">
        <v>34.880325204293925</v>
      </c>
      <c r="W10" s="8">
        <v>34.703566706976211</v>
      </c>
      <c r="X10" s="8">
        <v>34.511879451662026</v>
      </c>
      <c r="Y10" s="8">
        <v>34.319259753547037</v>
      </c>
      <c r="Z10" s="8">
        <v>34.129309266069583</v>
      </c>
      <c r="AA10" s="8">
        <v>33.944001840245839</v>
      </c>
      <c r="AB10" s="8">
        <v>33.764362692373624</v>
      </c>
    </row>
    <row r="11" spans="1:28" x14ac:dyDescent="0.2">
      <c r="A11" s="18" t="s">
        <v>4</v>
      </c>
      <c r="B11" s="2" t="s">
        <v>0</v>
      </c>
      <c r="C11" s="10">
        <v>14.140909939682043</v>
      </c>
      <c r="D11" s="1">
        <v>13.180565607599235</v>
      </c>
      <c r="E11" s="1">
        <v>12.255361624579825</v>
      </c>
      <c r="F11" s="1">
        <v>11.549282387185727</v>
      </c>
      <c r="G11" s="1">
        <v>11.094277173026228</v>
      </c>
      <c r="H11" s="1">
        <v>10.635176743084475</v>
      </c>
      <c r="I11" s="1">
        <v>10.539844843090016</v>
      </c>
      <c r="J11" s="1">
        <v>11.54955261936065</v>
      </c>
      <c r="K11" s="1">
        <v>13.288474883002724</v>
      </c>
      <c r="L11" s="1">
        <v>14.875833824547335</v>
      </c>
      <c r="M11" s="1">
        <v>16.025906996102702</v>
      </c>
      <c r="N11" s="1">
        <v>16.869400992942374</v>
      </c>
      <c r="O11" s="1">
        <v>17.46757151807828</v>
      </c>
      <c r="P11" s="1">
        <v>17.80354404835089</v>
      </c>
      <c r="Q11" s="1">
        <v>17.902664862644947</v>
      </c>
      <c r="R11" s="1">
        <v>17.81345632486569</v>
      </c>
      <c r="S11" s="1">
        <v>17.611912933627721</v>
      </c>
      <c r="T11" s="1">
        <v>17.392376061484413</v>
      </c>
      <c r="U11" s="1">
        <v>17.186704421483284</v>
      </c>
      <c r="V11" s="1">
        <v>17.003262228724431</v>
      </c>
      <c r="W11" s="1">
        <v>16.842382420143466</v>
      </c>
      <c r="X11" s="1">
        <v>16.701404721674308</v>
      </c>
      <c r="Y11" s="1">
        <v>16.576910644243831</v>
      </c>
      <c r="Z11" s="1">
        <v>16.465674478916181</v>
      </c>
      <c r="AA11" s="1">
        <v>16.364991526519635</v>
      </c>
      <c r="AB11" s="1">
        <v>16.272726595518542</v>
      </c>
    </row>
    <row r="12" spans="1:28" x14ac:dyDescent="0.2">
      <c r="A12" s="18"/>
      <c r="B12" s="2" t="s">
        <v>1</v>
      </c>
      <c r="C12" s="10">
        <v>19.745742797217254</v>
      </c>
      <c r="D12" s="1">
        <v>18.62982173678424</v>
      </c>
      <c r="E12" s="1">
        <v>17.504720589950207</v>
      </c>
      <c r="F12" s="1">
        <v>16.596395334946841</v>
      </c>
      <c r="G12" s="1">
        <v>15.911590204006348</v>
      </c>
      <c r="H12" s="1">
        <v>15.243116208185878</v>
      </c>
      <c r="I12" s="1">
        <v>14.922361376445606</v>
      </c>
      <c r="J12" s="1">
        <v>15.874317352037002</v>
      </c>
      <c r="K12" s="1">
        <v>17.753105650381091</v>
      </c>
      <c r="L12" s="1">
        <v>19.670136762177126</v>
      </c>
      <c r="M12" s="1">
        <v>21.165856492385934</v>
      </c>
      <c r="N12" s="1">
        <v>22.389069803982125</v>
      </c>
      <c r="O12" s="1">
        <v>23.34691226628382</v>
      </c>
      <c r="P12" s="1">
        <v>23.995951237392738</v>
      </c>
      <c r="Q12" s="1">
        <v>24.341674175682201</v>
      </c>
      <c r="R12" s="1">
        <v>24.424644743294905</v>
      </c>
      <c r="S12" s="1">
        <v>24.323965952137119</v>
      </c>
      <c r="T12" s="1">
        <v>24.149580117516535</v>
      </c>
      <c r="U12" s="1">
        <v>23.951577711750026</v>
      </c>
      <c r="V12" s="1">
        <v>23.752203503054861</v>
      </c>
      <c r="W12" s="1">
        <v>23.561452406828707</v>
      </c>
      <c r="X12" s="1">
        <v>23.38309647237713</v>
      </c>
      <c r="Y12" s="1">
        <v>23.217829373051757</v>
      </c>
      <c r="Z12" s="1">
        <v>23.062596504380039</v>
      </c>
      <c r="AA12" s="1">
        <v>22.911865610641769</v>
      </c>
      <c r="AB12" s="1">
        <v>22.774728038439697</v>
      </c>
    </row>
    <row r="13" spans="1:28" x14ac:dyDescent="0.2">
      <c r="A13" s="18"/>
      <c r="B13" s="2" t="s">
        <v>2</v>
      </c>
      <c r="C13" s="10">
        <v>30.323164168567551</v>
      </c>
      <c r="D13" s="1">
        <v>28.868544609544678</v>
      </c>
      <c r="E13" s="1">
        <v>27.446906861865326</v>
      </c>
      <c r="F13" s="1">
        <v>26.191783259856464</v>
      </c>
      <c r="G13" s="1">
        <v>25.194208520615984</v>
      </c>
      <c r="H13" s="1">
        <v>24.241196762958904</v>
      </c>
      <c r="I13" s="1">
        <v>23.648358317568899</v>
      </c>
      <c r="J13" s="1">
        <v>24.294304182529665</v>
      </c>
      <c r="K13" s="1">
        <v>26.032187269765743</v>
      </c>
      <c r="L13" s="1">
        <v>28.034419820853351</v>
      </c>
      <c r="M13" s="1">
        <v>29.979629557778232</v>
      </c>
      <c r="N13" s="1">
        <v>31.660423684076022</v>
      </c>
      <c r="O13" s="1">
        <v>33.064166407466253</v>
      </c>
      <c r="P13" s="1">
        <v>34.028758876817008</v>
      </c>
      <c r="Q13" s="1">
        <v>34.651120748122764</v>
      </c>
      <c r="R13" s="1">
        <v>34.983759257829263</v>
      </c>
      <c r="S13" s="1">
        <v>35.09070841287307</v>
      </c>
      <c r="T13" s="1">
        <v>35.07633396451719</v>
      </c>
      <c r="U13" s="1">
        <v>34.994749634969111</v>
      </c>
      <c r="V13" s="1">
        <v>34.874358964901312</v>
      </c>
      <c r="W13" s="1">
        <v>34.698672199279656</v>
      </c>
      <c r="X13" s="1">
        <v>34.508674163147589</v>
      </c>
      <c r="Y13" s="1">
        <v>34.317772452866713</v>
      </c>
      <c r="Z13" s="1">
        <v>34.12950941109515</v>
      </c>
      <c r="AA13" s="1">
        <v>33.945828975496894</v>
      </c>
      <c r="AB13" s="1">
        <v>33.767743672141265</v>
      </c>
    </row>
    <row r="14" spans="1:28" x14ac:dyDescent="0.2">
      <c r="A14" s="15" t="s">
        <v>5</v>
      </c>
      <c r="B14" s="3" t="s">
        <v>0</v>
      </c>
      <c r="C14" s="11">
        <v>14.140909939682043</v>
      </c>
      <c r="D14" s="4">
        <v>13.180565607599235</v>
      </c>
      <c r="E14" s="4">
        <v>12.255361624579825</v>
      </c>
      <c r="F14" s="4">
        <v>11.549282387185727</v>
      </c>
      <c r="G14" s="4">
        <v>11.094277173026228</v>
      </c>
      <c r="H14" s="4">
        <v>10.635176743084475</v>
      </c>
      <c r="I14" s="4">
        <v>10.539844843090016</v>
      </c>
      <c r="J14" s="4">
        <v>11.54955261936065</v>
      </c>
      <c r="K14" s="4">
        <v>13.288474883002724</v>
      </c>
      <c r="L14" s="4">
        <v>14.875833824547335</v>
      </c>
      <c r="M14" s="4">
        <v>16.025906996102702</v>
      </c>
      <c r="N14" s="4">
        <v>16.869399081903367</v>
      </c>
      <c r="O14" s="4">
        <v>17.06073157696779</v>
      </c>
      <c r="P14" s="4">
        <v>16.47661205287913</v>
      </c>
      <c r="Q14" s="4">
        <v>15.463647926481752</v>
      </c>
      <c r="R14" s="4">
        <v>14.266926272675041</v>
      </c>
      <c r="S14" s="4">
        <v>13.348448331222684</v>
      </c>
      <c r="T14" s="4">
        <v>12.806774677264169</v>
      </c>
      <c r="U14" s="4">
        <v>12.451531947079392</v>
      </c>
      <c r="V14" s="4">
        <v>12.19999352474934</v>
      </c>
      <c r="W14" s="4">
        <v>12.010621475479169</v>
      </c>
      <c r="X14" s="4">
        <v>11.864641864802177</v>
      </c>
      <c r="Y14" s="4">
        <v>11.747515391308941</v>
      </c>
      <c r="Z14" s="4">
        <v>11.64997545134284</v>
      </c>
      <c r="AA14" s="4">
        <v>11.566014056276851</v>
      </c>
      <c r="AB14" s="4">
        <v>11.491694464815112</v>
      </c>
    </row>
    <row r="15" spans="1:28" x14ac:dyDescent="0.2">
      <c r="A15" s="16"/>
      <c r="B15" s="5" t="s">
        <v>1</v>
      </c>
      <c r="C15" s="10">
        <v>19.745742797217254</v>
      </c>
      <c r="D15" s="6">
        <v>18.62982173678424</v>
      </c>
      <c r="E15" s="6">
        <v>17.504720589950207</v>
      </c>
      <c r="F15" s="6">
        <v>16.596395334946841</v>
      </c>
      <c r="G15" s="6">
        <v>15.911590204006348</v>
      </c>
      <c r="H15" s="6">
        <v>15.243116208185878</v>
      </c>
      <c r="I15" s="6">
        <v>14.922361376445606</v>
      </c>
      <c r="J15" s="6">
        <v>15.874317352037002</v>
      </c>
      <c r="K15" s="6">
        <v>17.753105650381091</v>
      </c>
      <c r="L15" s="6">
        <v>19.670136762177126</v>
      </c>
      <c r="M15" s="6">
        <v>21.165856492385934</v>
      </c>
      <c r="N15" s="6">
        <v>22.3890673659578</v>
      </c>
      <c r="O15" s="6">
        <v>22.768118319860626</v>
      </c>
      <c r="P15" s="6">
        <v>22.01449484648894</v>
      </c>
      <c r="Q15" s="6">
        <v>20.556309382207907</v>
      </c>
      <c r="R15" s="6">
        <v>18.759544805288748</v>
      </c>
      <c r="S15" s="6">
        <v>17.333088854722057</v>
      </c>
      <c r="T15" s="6">
        <v>16.452037546266396</v>
      </c>
      <c r="U15" s="6">
        <v>15.85981890121738</v>
      </c>
      <c r="V15" s="6">
        <v>15.440923854457765</v>
      </c>
      <c r="W15" s="6">
        <v>15.115590847828448</v>
      </c>
      <c r="X15" s="6">
        <v>14.874076509131635</v>
      </c>
      <c r="Y15" s="6">
        <v>14.683029577651173</v>
      </c>
      <c r="Z15" s="6">
        <v>14.527115518100196</v>
      </c>
      <c r="AA15" s="6">
        <v>14.396019174178544</v>
      </c>
      <c r="AB15" s="6">
        <v>14.282732143378436</v>
      </c>
    </row>
    <row r="16" spans="1:28" x14ac:dyDescent="0.2">
      <c r="A16" s="17"/>
      <c r="B16" s="7" t="s">
        <v>2</v>
      </c>
      <c r="C16" s="12">
        <v>30.323164168567551</v>
      </c>
      <c r="D16" s="8">
        <v>28.868544609544678</v>
      </c>
      <c r="E16" s="8">
        <v>27.446906861865326</v>
      </c>
      <c r="F16" s="8">
        <v>26.191783259856464</v>
      </c>
      <c r="G16" s="8">
        <v>25.194208520615984</v>
      </c>
      <c r="H16" s="8">
        <v>24.241196762958904</v>
      </c>
      <c r="I16" s="8">
        <v>23.648358317568899</v>
      </c>
      <c r="J16" s="8">
        <v>24.294304182529665</v>
      </c>
      <c r="K16" s="8">
        <v>26.032187269765743</v>
      </c>
      <c r="L16" s="8">
        <v>28.034419820853351</v>
      </c>
      <c r="M16" s="8">
        <v>29.979629557778232</v>
      </c>
      <c r="N16" s="8">
        <v>31.660419085899093</v>
      </c>
      <c r="O16" s="8">
        <v>32.214939917157139</v>
      </c>
      <c r="P16" s="8">
        <v>30.995683449809405</v>
      </c>
      <c r="Q16" s="8">
        <v>28.71576450726986</v>
      </c>
      <c r="R16" s="8">
        <v>26.014571027734263</v>
      </c>
      <c r="S16" s="8">
        <v>23.763693934543497</v>
      </c>
      <c r="T16" s="8">
        <v>22.29366175315073</v>
      </c>
      <c r="U16" s="8">
        <v>21.276119883791569</v>
      </c>
      <c r="V16" s="8">
        <v>20.540836634828583</v>
      </c>
      <c r="W16" s="8">
        <v>19.991864401545421</v>
      </c>
      <c r="X16" s="8">
        <v>19.570546430922512</v>
      </c>
      <c r="Y16" s="8">
        <v>19.238895696286356</v>
      </c>
      <c r="Z16" s="8">
        <v>18.971382639105869</v>
      </c>
      <c r="AA16" s="8">
        <v>18.750437900317571</v>
      </c>
      <c r="AB16" s="8">
        <v>18.563777632388252</v>
      </c>
    </row>
    <row r="17" spans="1:28" ht="15" customHeight="1" x14ac:dyDescent="0.2">
      <c r="A17" s="18" t="s">
        <v>6</v>
      </c>
      <c r="B17" s="2" t="s">
        <v>0</v>
      </c>
      <c r="C17" s="10">
        <v>14.140909939682043</v>
      </c>
      <c r="D17" s="1">
        <v>13.180565607599235</v>
      </c>
      <c r="E17" s="1">
        <v>12.255361624579825</v>
      </c>
      <c r="F17" s="1">
        <v>11.549282387185727</v>
      </c>
      <c r="G17" s="1">
        <v>11.094277173026228</v>
      </c>
      <c r="H17" s="1">
        <v>10.635176743084475</v>
      </c>
      <c r="I17" s="1">
        <v>10.539844843090016</v>
      </c>
      <c r="J17" s="1">
        <v>11.54955261936065</v>
      </c>
      <c r="K17" s="1">
        <v>13.288474883002724</v>
      </c>
      <c r="L17" s="1">
        <v>14.875833824547335</v>
      </c>
      <c r="M17" s="1">
        <v>16.025906996102702</v>
      </c>
      <c r="N17" s="1">
        <v>16.869398681703519</v>
      </c>
      <c r="O17" s="1">
        <v>16.977471574987906</v>
      </c>
      <c r="P17" s="1">
        <v>16.211491507586487</v>
      </c>
      <c r="Q17" s="1">
        <v>14.990908568321768</v>
      </c>
      <c r="R17" s="1">
        <v>13.604345547225233</v>
      </c>
      <c r="S17" s="1">
        <v>12.587378962911618</v>
      </c>
      <c r="T17" s="1">
        <v>12.029362823923261</v>
      </c>
      <c r="U17" s="1">
        <v>11.688416693215277</v>
      </c>
      <c r="V17" s="1">
        <v>11.458019397988636</v>
      </c>
      <c r="W17" s="1">
        <v>11.294027005311115</v>
      </c>
      <c r="X17" s="1">
        <v>11.171709806149572</v>
      </c>
      <c r="Y17" s="1">
        <v>11.074338296797977</v>
      </c>
      <c r="Z17" s="1">
        <v>10.991654524553713</v>
      </c>
      <c r="AA17" s="1">
        <v>10.920921168178136</v>
      </c>
      <c r="AB17" s="1">
        <v>10.858410309171454</v>
      </c>
    </row>
    <row r="18" spans="1:28" x14ac:dyDescent="0.2">
      <c r="A18" s="18"/>
      <c r="B18" s="2" t="s">
        <v>1</v>
      </c>
      <c r="C18" s="10">
        <v>19.745742797217254</v>
      </c>
      <c r="D18" s="1">
        <v>18.62982173678424</v>
      </c>
      <c r="E18" s="1">
        <v>17.504720589950207</v>
      </c>
      <c r="F18" s="1">
        <v>16.596395334946841</v>
      </c>
      <c r="G18" s="1">
        <v>15.911590204006348</v>
      </c>
      <c r="H18" s="1">
        <v>15.243116208185878</v>
      </c>
      <c r="I18" s="1">
        <v>14.922361376445606</v>
      </c>
      <c r="J18" s="1">
        <v>15.874317352037002</v>
      </c>
      <c r="K18" s="1">
        <v>17.753105650381091</v>
      </c>
      <c r="L18" s="1">
        <v>19.670136762177126</v>
      </c>
      <c r="M18" s="1">
        <v>21.165856492385934</v>
      </c>
      <c r="N18" s="1">
        <v>22.389066875774862</v>
      </c>
      <c r="O18" s="1">
        <v>22.65441601494382</v>
      </c>
      <c r="P18" s="1">
        <v>21.636333216299022</v>
      </c>
      <c r="Q18" s="1">
        <v>19.843854201866986</v>
      </c>
      <c r="R18" s="1">
        <v>17.78379727577919</v>
      </c>
      <c r="S18" s="1">
        <v>16.172065279946022</v>
      </c>
      <c r="T18" s="1">
        <v>15.2309750228829</v>
      </c>
      <c r="U18" s="1">
        <v>14.623494357890429</v>
      </c>
      <c r="V18" s="1">
        <v>14.226703091554977</v>
      </c>
      <c r="W18" s="1">
        <v>13.951437685132705</v>
      </c>
      <c r="X18" s="1">
        <v>13.752346963243022</v>
      </c>
      <c r="Y18" s="1">
        <v>13.602189051714065</v>
      </c>
      <c r="Z18" s="1">
        <v>13.48407899288055</v>
      </c>
      <c r="AA18" s="1">
        <v>13.387339661713872</v>
      </c>
      <c r="AB18" s="1">
        <v>13.305128308522651</v>
      </c>
    </row>
    <row r="19" spans="1:28" x14ac:dyDescent="0.2">
      <c r="A19" s="18"/>
      <c r="B19" s="2" t="s">
        <v>2</v>
      </c>
      <c r="C19" s="10">
        <v>30.323164168567551</v>
      </c>
      <c r="D19" s="1">
        <v>28.868544609544678</v>
      </c>
      <c r="E19" s="1">
        <v>27.446906861865326</v>
      </c>
      <c r="F19" s="1">
        <v>26.191783259856464</v>
      </c>
      <c r="G19" s="1">
        <v>25.194208520615984</v>
      </c>
      <c r="H19" s="1">
        <v>24.241196762958904</v>
      </c>
      <c r="I19" s="1">
        <v>23.648358317568899</v>
      </c>
      <c r="J19" s="1">
        <v>24.294304182529665</v>
      </c>
      <c r="K19" s="1">
        <v>26.032187269765743</v>
      </c>
      <c r="L19" s="1">
        <v>28.034419820853351</v>
      </c>
      <c r="M19" s="1">
        <v>29.979629557778232</v>
      </c>
      <c r="N19" s="1">
        <v>31.660418116205058</v>
      </c>
      <c r="O19" s="1">
        <v>32.041719617602986</v>
      </c>
      <c r="P19" s="1">
        <v>30.393943642453408</v>
      </c>
      <c r="Q19" s="1">
        <v>27.60935870298222</v>
      </c>
      <c r="R19" s="1">
        <v>24.392344720111247</v>
      </c>
      <c r="S19" s="1">
        <v>21.800789784516635</v>
      </c>
      <c r="T19" s="1">
        <v>20.181604124719133</v>
      </c>
      <c r="U19" s="1">
        <v>19.123976379888035</v>
      </c>
      <c r="V19" s="1">
        <v>18.407105877947295</v>
      </c>
      <c r="W19" s="1">
        <v>17.906187438980524</v>
      </c>
      <c r="X19" s="1">
        <v>17.546046074811173</v>
      </c>
      <c r="Y19" s="1">
        <v>17.279404335871803</v>
      </c>
      <c r="Z19" s="1">
        <v>17.075713496798436</v>
      </c>
      <c r="AA19" s="1">
        <v>16.914896255619613</v>
      </c>
      <c r="AB19" s="1">
        <v>16.788872018962596</v>
      </c>
    </row>
    <row r="20" spans="1:28" x14ac:dyDescent="0.2">
      <c r="A20" s="15" t="s">
        <v>7</v>
      </c>
      <c r="B20" s="3" t="s">
        <v>0</v>
      </c>
      <c r="C20" s="11">
        <v>14.140909939682043</v>
      </c>
      <c r="D20" s="4">
        <v>13.180565607599235</v>
      </c>
      <c r="E20" s="4">
        <v>12.255361624579825</v>
      </c>
      <c r="F20" s="4">
        <v>11.549282387185727</v>
      </c>
      <c r="G20" s="4">
        <v>11.094277173026228</v>
      </c>
      <c r="H20" s="4">
        <v>10.635176743084475</v>
      </c>
      <c r="I20" s="4">
        <v>10.539844843090016</v>
      </c>
      <c r="J20" s="4">
        <v>11.54955261936065</v>
      </c>
      <c r="K20" s="4">
        <v>13.288474883002724</v>
      </c>
      <c r="L20" s="4">
        <v>14.875833824547335</v>
      </c>
      <c r="M20" s="4">
        <v>16.025906996102702</v>
      </c>
      <c r="N20" s="4">
        <v>16.869400543377228</v>
      </c>
      <c r="O20" s="4">
        <v>16.924678222374162</v>
      </c>
      <c r="P20" s="4">
        <v>15.96830587277212</v>
      </c>
      <c r="Q20" s="4">
        <v>14.474646946400103</v>
      </c>
      <c r="R20" s="4">
        <v>12.792988350062402</v>
      </c>
      <c r="S20" s="4">
        <v>11.513233067583826</v>
      </c>
      <c r="T20" s="4">
        <v>10.775257328174838</v>
      </c>
      <c r="U20" s="4">
        <v>10.311475412103006</v>
      </c>
      <c r="V20" s="4">
        <v>9.9992290856009749</v>
      </c>
      <c r="W20" s="4">
        <v>9.7774534214841502</v>
      </c>
      <c r="X20" s="4">
        <v>9.6121403371666645</v>
      </c>
      <c r="Y20" s="4">
        <v>9.4830416916345008</v>
      </c>
      <c r="Z20" s="4">
        <v>9.37767277423543</v>
      </c>
      <c r="AA20" s="4">
        <v>9.288185671370595</v>
      </c>
      <c r="AB20" s="4">
        <v>9.2095868591711429</v>
      </c>
    </row>
    <row r="21" spans="1:28" x14ac:dyDescent="0.2">
      <c r="A21" s="16"/>
      <c r="B21" s="5" t="s">
        <v>1</v>
      </c>
      <c r="C21" s="10">
        <v>19.745742797217254</v>
      </c>
      <c r="D21" s="6">
        <v>18.62982173678424</v>
      </c>
      <c r="E21" s="6">
        <v>17.504720589950207</v>
      </c>
      <c r="F21" s="6">
        <v>16.596395334946841</v>
      </c>
      <c r="G21" s="6">
        <v>15.911590204006348</v>
      </c>
      <c r="H21" s="6">
        <v>15.243116208185878</v>
      </c>
      <c r="I21" s="6">
        <v>14.922361376445606</v>
      </c>
      <c r="J21" s="6">
        <v>15.874317352037002</v>
      </c>
      <c r="K21" s="6">
        <v>17.753105650381091</v>
      </c>
      <c r="L21" s="6">
        <v>19.670136762177126</v>
      </c>
      <c r="M21" s="6">
        <v>21.165856492385934</v>
      </c>
      <c r="N21" s="6">
        <v>22.389068307203679</v>
      </c>
      <c r="O21" s="6">
        <v>22.603125913857571</v>
      </c>
      <c r="P21" s="6">
        <v>21.389613111737479</v>
      </c>
      <c r="Q21" s="6">
        <v>19.318564233582837</v>
      </c>
      <c r="R21" s="6">
        <v>16.891632172713482</v>
      </c>
      <c r="S21" s="6">
        <v>14.96636225533333</v>
      </c>
      <c r="T21" s="6">
        <v>13.789908658206658</v>
      </c>
      <c r="U21" s="6">
        <v>13.029581896721179</v>
      </c>
      <c r="V21" s="6">
        <v>12.513753446718081</v>
      </c>
      <c r="W21" s="6">
        <v>12.138335429936589</v>
      </c>
      <c r="X21" s="6">
        <v>11.863769735024093</v>
      </c>
      <c r="Y21" s="6">
        <v>11.655668635231331</v>
      </c>
      <c r="Z21" s="6">
        <v>11.491984220893713</v>
      </c>
      <c r="AA21" s="6">
        <v>11.358364736550479</v>
      </c>
      <c r="AB21" s="6">
        <v>11.245384233399754</v>
      </c>
    </row>
    <row r="22" spans="1:28" x14ac:dyDescent="0.2">
      <c r="A22" s="17"/>
      <c r="B22" s="7" t="s">
        <v>2</v>
      </c>
      <c r="C22" s="12">
        <v>30.323164168567551</v>
      </c>
      <c r="D22" s="8">
        <v>28.868544609544678</v>
      </c>
      <c r="E22" s="8">
        <v>27.446906861865326</v>
      </c>
      <c r="F22" s="8">
        <v>26.191783259856464</v>
      </c>
      <c r="G22" s="8">
        <v>25.194208520615984</v>
      </c>
      <c r="H22" s="8">
        <v>24.241196762958904</v>
      </c>
      <c r="I22" s="8">
        <v>23.648358317568899</v>
      </c>
      <c r="J22" s="8">
        <v>24.294304182529665</v>
      </c>
      <c r="K22" s="8">
        <v>26.032187269765743</v>
      </c>
      <c r="L22" s="8">
        <v>28.034419820853351</v>
      </c>
      <c r="M22" s="8">
        <v>29.979629557778232</v>
      </c>
      <c r="N22" s="8">
        <v>31.660416788116134</v>
      </c>
      <c r="O22" s="8">
        <v>31.985386315176378</v>
      </c>
      <c r="P22" s="8">
        <v>30.153482558615437</v>
      </c>
      <c r="Q22" s="8">
        <v>27.020808572801521</v>
      </c>
      <c r="R22" s="8">
        <v>23.342856559205956</v>
      </c>
      <c r="S22" s="8">
        <v>20.353825187404503</v>
      </c>
      <c r="T22" s="8">
        <v>18.429756818235006</v>
      </c>
      <c r="U22" s="8">
        <v>17.144107070007536</v>
      </c>
      <c r="V22" s="8">
        <v>16.25697689533806</v>
      </c>
      <c r="W22" s="8">
        <v>15.621940544688712</v>
      </c>
      <c r="X22" s="8">
        <v>15.161446316256223</v>
      </c>
      <c r="Y22" s="8">
        <v>14.818967239681221</v>
      </c>
      <c r="Z22" s="8">
        <v>14.556906999556013</v>
      </c>
      <c r="AA22" s="8">
        <v>14.350125691532465</v>
      </c>
      <c r="AB22" s="8">
        <v>14.181684474970972</v>
      </c>
    </row>
    <row r="25" spans="1:28" x14ac:dyDescent="0.2">
      <c r="A25" s="14" t="s">
        <v>13</v>
      </c>
    </row>
    <row r="26" spans="1:28" x14ac:dyDescent="0.2">
      <c r="A26" s="2" t="s">
        <v>9</v>
      </c>
    </row>
    <row r="27" spans="1:28" x14ac:dyDescent="0.2">
      <c r="A27" s="13" t="s">
        <v>10</v>
      </c>
    </row>
    <row r="28" spans="1:28" x14ac:dyDescent="0.2">
      <c r="A28" s="2" t="s">
        <v>12</v>
      </c>
    </row>
  </sheetData>
  <mergeCells count="6"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8"/>
  <sheetViews>
    <sheetView zoomScale="150" zoomScaleNormal="150" workbookViewId="0">
      <selection activeCell="A3" sqref="A3"/>
    </sheetView>
  </sheetViews>
  <sheetFormatPr baseColWidth="10" defaultColWidth="8.83203125" defaultRowHeight="15" x14ac:dyDescent="0.2"/>
  <cols>
    <col min="1" max="1" width="17.83203125" customWidth="1"/>
    <col min="3" max="28" width="11.6640625" customWidth="1"/>
  </cols>
  <sheetData>
    <row r="2" spans="1:28" ht="17" x14ac:dyDescent="0.2">
      <c r="A2" s="19" t="s">
        <v>15</v>
      </c>
    </row>
    <row r="4" spans="1:28" x14ac:dyDescent="0.2">
      <c r="A4" s="14" t="s">
        <v>11</v>
      </c>
      <c r="C4" s="9">
        <v>2015</v>
      </c>
      <c r="D4">
        <f t="shared" ref="D4:AB4" si="0">C4+1</f>
        <v>2016</v>
      </c>
      <c r="E4">
        <f t="shared" si="0"/>
        <v>2017</v>
      </c>
      <c r="F4">
        <f t="shared" si="0"/>
        <v>2018</v>
      </c>
      <c r="G4">
        <f t="shared" si="0"/>
        <v>2019</v>
      </c>
      <c r="H4">
        <f t="shared" si="0"/>
        <v>2020</v>
      </c>
      <c r="I4">
        <f t="shared" si="0"/>
        <v>2021</v>
      </c>
      <c r="J4">
        <f t="shared" si="0"/>
        <v>2022</v>
      </c>
      <c r="K4">
        <f t="shared" si="0"/>
        <v>2023</v>
      </c>
      <c r="L4">
        <f t="shared" si="0"/>
        <v>2024</v>
      </c>
      <c r="M4">
        <f t="shared" si="0"/>
        <v>2025</v>
      </c>
      <c r="N4">
        <f t="shared" si="0"/>
        <v>2026</v>
      </c>
      <c r="O4">
        <f t="shared" si="0"/>
        <v>2027</v>
      </c>
      <c r="P4">
        <f t="shared" si="0"/>
        <v>2028</v>
      </c>
      <c r="Q4">
        <f t="shared" si="0"/>
        <v>2029</v>
      </c>
      <c r="R4">
        <f t="shared" si="0"/>
        <v>2030</v>
      </c>
      <c r="S4">
        <f t="shared" si="0"/>
        <v>2031</v>
      </c>
      <c r="T4">
        <f t="shared" si="0"/>
        <v>2032</v>
      </c>
      <c r="U4">
        <f t="shared" si="0"/>
        <v>2033</v>
      </c>
      <c r="V4">
        <f t="shared" si="0"/>
        <v>2034</v>
      </c>
      <c r="W4">
        <f t="shared" si="0"/>
        <v>2035</v>
      </c>
      <c r="X4">
        <f t="shared" si="0"/>
        <v>2036</v>
      </c>
      <c r="Y4">
        <f t="shared" si="0"/>
        <v>2037</v>
      </c>
      <c r="Z4">
        <f t="shared" si="0"/>
        <v>2038</v>
      </c>
      <c r="AA4">
        <f t="shared" si="0"/>
        <v>2039</v>
      </c>
      <c r="AB4">
        <f t="shared" si="0"/>
        <v>2040</v>
      </c>
    </row>
    <row r="5" spans="1:28" x14ac:dyDescent="0.2">
      <c r="A5" s="15" t="s">
        <v>8</v>
      </c>
      <c r="B5" s="3" t="s">
        <v>0</v>
      </c>
      <c r="C5" s="11">
        <v>7.7083703132432735</v>
      </c>
      <c r="D5" s="4">
        <v>7.0909974537878178</v>
      </c>
      <c r="E5" s="4">
        <v>6.7212337145421674</v>
      </c>
      <c r="F5" s="4">
        <v>6.5387023071914117</v>
      </c>
      <c r="G5" s="4">
        <v>6.3515932321032036</v>
      </c>
      <c r="H5" s="4">
        <v>6.1734853271970378</v>
      </c>
      <c r="I5" s="4">
        <v>6.5856723590476385</v>
      </c>
      <c r="J5" s="4">
        <v>7.4620509457874817</v>
      </c>
      <c r="K5" s="4">
        <v>8.2691333456932838</v>
      </c>
      <c r="L5" s="4">
        <v>8.798319557315617</v>
      </c>
      <c r="M5" s="4">
        <v>9.2159875718587898</v>
      </c>
      <c r="N5" s="4">
        <v>9.5298295867824407</v>
      </c>
      <c r="O5" s="4">
        <v>9.7612922835405911</v>
      </c>
      <c r="P5" s="4">
        <v>9.9357036569377701</v>
      </c>
      <c r="Q5" s="4">
        <v>10.064554050874897</v>
      </c>
      <c r="R5" s="4">
        <v>10.161076502248161</v>
      </c>
      <c r="S5" s="4">
        <v>10.237761748345488</v>
      </c>
      <c r="T5" s="4">
        <v>10.300207164557218</v>
      </c>
      <c r="U5" s="4">
        <v>10.346083532161776</v>
      </c>
      <c r="V5" s="4">
        <v>10.379094931785369</v>
      </c>
      <c r="W5" s="4">
        <v>10.402167699441012</v>
      </c>
      <c r="X5" s="4">
        <v>10.417606773267199</v>
      </c>
      <c r="Y5" s="4">
        <v>10.427222986335305</v>
      </c>
      <c r="Z5" s="4">
        <v>10.432434306934361</v>
      </c>
      <c r="AA5" s="4">
        <v>10.434347477076873</v>
      </c>
      <c r="AB5" s="4">
        <v>10.433824002789786</v>
      </c>
    </row>
    <row r="6" spans="1:28" x14ac:dyDescent="0.2">
      <c r="A6" s="16"/>
      <c r="B6" s="5" t="s">
        <v>1</v>
      </c>
      <c r="C6" s="10">
        <v>8.206951382243826</v>
      </c>
      <c r="D6" s="6">
        <v>7.5908689687462232</v>
      </c>
      <c r="E6" s="6">
        <v>7.2071685202843367</v>
      </c>
      <c r="F6" s="6">
        <v>7.0460543763271088</v>
      </c>
      <c r="G6" s="6">
        <v>6.8516135473677613</v>
      </c>
      <c r="H6" s="6">
        <v>6.6732210230065565</v>
      </c>
      <c r="I6" s="6">
        <v>7.1627953371245194</v>
      </c>
      <c r="J6" s="6">
        <v>8.1203953733056391</v>
      </c>
      <c r="K6" s="6">
        <v>9.0053536425555549</v>
      </c>
      <c r="L6" s="6">
        <v>9.6162067722312816</v>
      </c>
      <c r="M6" s="6">
        <v>10.080894361552978</v>
      </c>
      <c r="N6" s="6">
        <v>10.483156919016324</v>
      </c>
      <c r="O6" s="6">
        <v>10.788368976155647</v>
      </c>
      <c r="P6" s="6">
        <v>11.032639702193348</v>
      </c>
      <c r="Q6" s="6">
        <v>11.219119354244381</v>
      </c>
      <c r="R6" s="6">
        <v>11.358767543499178</v>
      </c>
      <c r="S6" s="6">
        <v>11.462085051493412</v>
      </c>
      <c r="T6" s="6">
        <v>11.540583492008816</v>
      </c>
      <c r="U6" s="6">
        <v>11.590427993508415</v>
      </c>
      <c r="V6" s="6">
        <v>11.620445594602435</v>
      </c>
      <c r="W6" s="6">
        <v>11.657824119732245</v>
      </c>
      <c r="X6" s="6">
        <v>11.676381708905298</v>
      </c>
      <c r="Y6" s="6">
        <v>11.698633340740793</v>
      </c>
      <c r="Z6" s="6">
        <v>11.690238931728846</v>
      </c>
      <c r="AA6" s="6">
        <v>11.685988025503876</v>
      </c>
      <c r="AB6" s="6">
        <v>11.694196268579701</v>
      </c>
    </row>
    <row r="7" spans="1:28" x14ac:dyDescent="0.2">
      <c r="A7" s="17"/>
      <c r="B7" s="7" t="s">
        <v>2</v>
      </c>
      <c r="C7" s="12">
        <v>8.8443663246109665</v>
      </c>
      <c r="D7" s="8">
        <v>8.3238779159872305</v>
      </c>
      <c r="E7" s="8">
        <v>7.9752171471327138</v>
      </c>
      <c r="F7" s="8">
        <v>7.8047211656075817</v>
      </c>
      <c r="G7" s="8">
        <v>7.6182932795045275</v>
      </c>
      <c r="H7" s="8">
        <v>7.4327492571322047</v>
      </c>
      <c r="I7" s="8">
        <v>7.9168510794760856</v>
      </c>
      <c r="J7" s="8">
        <v>8.9577540234173334</v>
      </c>
      <c r="K7" s="8">
        <v>9.9510907323573541</v>
      </c>
      <c r="L7" s="8">
        <v>10.631092075721583</v>
      </c>
      <c r="M7" s="8">
        <v>11.186281914639659</v>
      </c>
      <c r="N7" s="8">
        <v>11.633505662991229</v>
      </c>
      <c r="O7" s="8">
        <v>11.995623663297014</v>
      </c>
      <c r="P7" s="8">
        <v>12.286312881590987</v>
      </c>
      <c r="Q7" s="8">
        <v>12.5140682460995</v>
      </c>
      <c r="R7" s="8">
        <v>12.690873882888813</v>
      </c>
      <c r="S7" s="8">
        <v>12.826765484103749</v>
      </c>
      <c r="T7" s="8">
        <v>12.931724704118821</v>
      </c>
      <c r="U7" s="8">
        <v>13.014195067321612</v>
      </c>
      <c r="V7" s="8">
        <v>13.076890353000895</v>
      </c>
      <c r="W7" s="8">
        <v>13.117828546174437</v>
      </c>
      <c r="X7" s="8">
        <v>13.136127679772496</v>
      </c>
      <c r="Y7" s="8">
        <v>13.153585713598638</v>
      </c>
      <c r="Z7" s="8">
        <v>13.16547940513359</v>
      </c>
      <c r="AA7" s="8">
        <v>13.171834673356694</v>
      </c>
      <c r="AB7" s="8">
        <v>13.174041678382991</v>
      </c>
    </row>
    <row r="8" spans="1:28" x14ac:dyDescent="0.2">
      <c r="A8" s="15" t="s">
        <v>3</v>
      </c>
      <c r="B8" s="3" t="s">
        <v>0</v>
      </c>
      <c r="C8" s="11">
        <v>7.7083703132432735</v>
      </c>
      <c r="D8" s="4">
        <v>7.0909974537878178</v>
      </c>
      <c r="E8" s="4">
        <v>6.7212337145421674</v>
      </c>
      <c r="F8" s="4">
        <v>6.5387023071914117</v>
      </c>
      <c r="G8" s="4">
        <v>6.3515932321032036</v>
      </c>
      <c r="H8" s="4">
        <v>6.1734853271970378</v>
      </c>
      <c r="I8" s="4">
        <v>6.5856723590476385</v>
      </c>
      <c r="J8" s="4">
        <v>7.4620509457874817</v>
      </c>
      <c r="K8" s="4">
        <v>8.2691333456932838</v>
      </c>
      <c r="L8" s="4">
        <v>8.798319557315617</v>
      </c>
      <c r="M8" s="4">
        <v>9.2159868166030829</v>
      </c>
      <c r="N8" s="4">
        <v>9.5021346434782039</v>
      </c>
      <c r="O8" s="4">
        <v>9.5996220243991708</v>
      </c>
      <c r="P8" s="4">
        <v>9.5647076411532996</v>
      </c>
      <c r="Q8" s="4">
        <v>9.4386996591969705</v>
      </c>
      <c r="R8" s="4">
        <v>9.2790467110041206</v>
      </c>
      <c r="S8" s="4">
        <v>9.1553346938259423</v>
      </c>
      <c r="T8" s="4">
        <v>9.0530133425511607</v>
      </c>
      <c r="U8" s="4">
        <v>8.9647154141037273</v>
      </c>
      <c r="V8" s="4">
        <v>8.8870003686919876</v>
      </c>
      <c r="W8" s="4">
        <v>8.8175385405826283</v>
      </c>
      <c r="X8" s="4">
        <v>8.754590514828017</v>
      </c>
      <c r="Y8" s="4">
        <v>8.6965030271010342</v>
      </c>
      <c r="Z8" s="4">
        <v>8.6419417885602154</v>
      </c>
      <c r="AA8" s="4">
        <v>8.5908040484602033</v>
      </c>
      <c r="AB8" s="4">
        <v>8.5425391329990426</v>
      </c>
    </row>
    <row r="9" spans="1:28" x14ac:dyDescent="0.2">
      <c r="A9" s="16"/>
      <c r="B9" s="5" t="s">
        <v>1</v>
      </c>
      <c r="C9" s="10">
        <v>8.206951382243826</v>
      </c>
      <c r="D9" s="6">
        <v>7.5908689687462232</v>
      </c>
      <c r="E9" s="6">
        <v>7.2071685202843367</v>
      </c>
      <c r="F9" s="6">
        <v>7.0460543763271088</v>
      </c>
      <c r="G9" s="6">
        <v>6.8516135473677613</v>
      </c>
      <c r="H9" s="6">
        <v>6.6732210230065565</v>
      </c>
      <c r="I9" s="6">
        <v>7.1627953371245194</v>
      </c>
      <c r="J9" s="6">
        <v>8.1203953733056391</v>
      </c>
      <c r="K9" s="6">
        <v>9.0053536425555549</v>
      </c>
      <c r="L9" s="6">
        <v>9.6162067722312816</v>
      </c>
      <c r="M9" s="6">
        <v>10.080893212265794</v>
      </c>
      <c r="N9" s="6">
        <v>10.450721016555422</v>
      </c>
      <c r="O9" s="6">
        <v>10.598787275067371</v>
      </c>
      <c r="P9" s="6">
        <v>10.567808878089751</v>
      </c>
      <c r="Q9" s="6">
        <v>10.433172442116655</v>
      </c>
      <c r="R9" s="6">
        <v>10.258810787383789</v>
      </c>
      <c r="S9" s="6">
        <v>10.113263379032961</v>
      </c>
      <c r="T9" s="6">
        <v>9.9922657127950938</v>
      </c>
      <c r="U9" s="6">
        <v>9.8870207635079783</v>
      </c>
      <c r="V9" s="6">
        <v>9.7895797407456921</v>
      </c>
      <c r="W9" s="6">
        <v>9.7046370766565335</v>
      </c>
      <c r="X9" s="6">
        <v>9.626904488425053</v>
      </c>
      <c r="Y9" s="6">
        <v>9.5550837114260165</v>
      </c>
      <c r="Z9" s="6">
        <v>9.497542524397538</v>
      </c>
      <c r="AA9" s="6">
        <v>9.4439815622069592</v>
      </c>
      <c r="AB9" s="6">
        <v>9.3937310926360897</v>
      </c>
    </row>
    <row r="10" spans="1:28" x14ac:dyDescent="0.2">
      <c r="A10" s="17"/>
      <c r="B10" s="7" t="s">
        <v>2</v>
      </c>
      <c r="C10" s="12">
        <v>8.8443663246109665</v>
      </c>
      <c r="D10" s="8">
        <v>8.3238779159872305</v>
      </c>
      <c r="E10" s="8">
        <v>7.9752171471327138</v>
      </c>
      <c r="F10" s="8">
        <v>7.8047211656075817</v>
      </c>
      <c r="G10" s="8">
        <v>7.6182932795045275</v>
      </c>
      <c r="H10" s="8">
        <v>7.4327492571322047</v>
      </c>
      <c r="I10" s="8">
        <v>7.9168510794760856</v>
      </c>
      <c r="J10" s="8">
        <v>8.9577540234173334</v>
      </c>
      <c r="K10" s="8">
        <v>9.9510907323573541</v>
      </c>
      <c r="L10" s="8">
        <v>10.631092075721583</v>
      </c>
      <c r="M10" s="8">
        <v>11.186281323558472</v>
      </c>
      <c r="N10" s="8">
        <v>11.59354896044522</v>
      </c>
      <c r="O10" s="8">
        <v>11.766460084757533</v>
      </c>
      <c r="P10" s="8">
        <v>11.74127531784503</v>
      </c>
      <c r="Q10" s="8">
        <v>11.572821216602989</v>
      </c>
      <c r="R10" s="8">
        <v>11.34678085309584</v>
      </c>
      <c r="S10" s="8">
        <v>11.181635120594088</v>
      </c>
      <c r="T10" s="8">
        <v>11.045877231806479</v>
      </c>
      <c r="U10" s="8">
        <v>10.927958702772971</v>
      </c>
      <c r="V10" s="8">
        <v>10.831599516015773</v>
      </c>
      <c r="W10" s="8">
        <v>10.748115614167546</v>
      </c>
      <c r="X10" s="8">
        <v>10.656635214215484</v>
      </c>
      <c r="Y10" s="8">
        <v>10.577079136097471</v>
      </c>
      <c r="Z10" s="8">
        <v>10.509652717310999</v>
      </c>
      <c r="AA10" s="8">
        <v>10.446814924842432</v>
      </c>
      <c r="AB10" s="8">
        <v>10.388079542752864</v>
      </c>
    </row>
    <row r="11" spans="1:28" x14ac:dyDescent="0.2">
      <c r="A11" s="18" t="s">
        <v>4</v>
      </c>
      <c r="B11" s="2" t="s">
        <v>0</v>
      </c>
      <c r="C11" s="10">
        <v>7.7083703132432735</v>
      </c>
      <c r="D11" s="1">
        <v>7.0909974537878178</v>
      </c>
      <c r="E11" s="1">
        <v>6.7212337145421674</v>
      </c>
      <c r="F11" s="1">
        <v>6.5387023071914117</v>
      </c>
      <c r="G11" s="1">
        <v>6.3515932321032036</v>
      </c>
      <c r="H11" s="1">
        <v>6.1734853271970378</v>
      </c>
      <c r="I11" s="1">
        <v>6.5856723590476385</v>
      </c>
      <c r="J11" s="1">
        <v>7.4620509457874817</v>
      </c>
      <c r="K11" s="1">
        <v>8.2691333456932838</v>
      </c>
      <c r="L11" s="1">
        <v>8.798319557315617</v>
      </c>
      <c r="M11" s="1">
        <v>9.2159868165857368</v>
      </c>
      <c r="N11" s="1">
        <v>9.5016527482612823</v>
      </c>
      <c r="O11" s="1">
        <v>9.5975378224927397</v>
      </c>
      <c r="P11" s="1">
        <v>9.5610118051162338</v>
      </c>
      <c r="Q11" s="1">
        <v>9.4336987728112334</v>
      </c>
      <c r="R11" s="1">
        <v>9.2736177811898131</v>
      </c>
      <c r="S11" s="1">
        <v>9.1511682963268868</v>
      </c>
      <c r="T11" s="1">
        <v>9.0503233722168375</v>
      </c>
      <c r="U11" s="1">
        <v>8.9633269481580982</v>
      </c>
      <c r="V11" s="1">
        <v>8.8867434512597008</v>
      </c>
      <c r="W11" s="1">
        <v>8.8182660219165054</v>
      </c>
      <c r="X11" s="1">
        <v>8.7561823846568601</v>
      </c>
      <c r="Y11" s="1">
        <v>8.6992029234200245</v>
      </c>
      <c r="Z11" s="1">
        <v>8.6453980000845121</v>
      </c>
      <c r="AA11" s="1">
        <v>8.5949512696807808</v>
      </c>
      <c r="AB11" s="1">
        <v>8.5473262979309546</v>
      </c>
    </row>
    <row r="12" spans="1:28" x14ac:dyDescent="0.2">
      <c r="A12" s="18"/>
      <c r="B12" s="2" t="s">
        <v>1</v>
      </c>
      <c r="C12" s="10">
        <v>8.206951382243826</v>
      </c>
      <c r="D12" s="1">
        <v>7.5908689687462232</v>
      </c>
      <c r="E12" s="1">
        <v>7.2071685202843367</v>
      </c>
      <c r="F12" s="1">
        <v>7.0460543763271088</v>
      </c>
      <c r="G12" s="1">
        <v>6.8516135473677613</v>
      </c>
      <c r="H12" s="1">
        <v>6.6732210230065565</v>
      </c>
      <c r="I12" s="1">
        <v>7.1627953371245194</v>
      </c>
      <c r="J12" s="1">
        <v>8.1203953733056391</v>
      </c>
      <c r="K12" s="1">
        <v>9.0053536425555549</v>
      </c>
      <c r="L12" s="1">
        <v>9.6162067722312816</v>
      </c>
      <c r="M12" s="1">
        <v>10.080893212265794</v>
      </c>
      <c r="N12" s="1">
        <v>10.450171903171134</v>
      </c>
      <c r="O12" s="1">
        <v>10.596418261301704</v>
      </c>
      <c r="P12" s="1">
        <v>10.563455734185549</v>
      </c>
      <c r="Q12" s="1">
        <v>10.4269931664046</v>
      </c>
      <c r="R12" s="1">
        <v>10.253343655506374</v>
      </c>
      <c r="S12" s="1">
        <v>10.10898058943202</v>
      </c>
      <c r="T12" s="1">
        <v>9.9888204502180766</v>
      </c>
      <c r="U12" s="1">
        <v>9.8850684477859687</v>
      </c>
      <c r="V12" s="1">
        <v>9.7890489027724819</v>
      </c>
      <c r="W12" s="1">
        <v>9.7052459517876848</v>
      </c>
      <c r="X12" s="1">
        <v>9.628525094982475</v>
      </c>
      <c r="Y12" s="1">
        <v>9.5576104428776443</v>
      </c>
      <c r="Z12" s="1">
        <v>9.5006528905879524</v>
      </c>
      <c r="AA12" s="1">
        <v>9.4477656873238001</v>
      </c>
      <c r="AB12" s="1">
        <v>9.3981399558145728</v>
      </c>
    </row>
    <row r="13" spans="1:28" x14ac:dyDescent="0.2">
      <c r="A13" s="18"/>
      <c r="B13" s="2" t="s">
        <v>2</v>
      </c>
      <c r="C13" s="10">
        <v>8.8443663246109665</v>
      </c>
      <c r="D13" s="1">
        <v>8.3238779159872305</v>
      </c>
      <c r="E13" s="1">
        <v>7.9752171471327138</v>
      </c>
      <c r="F13" s="1">
        <v>7.8047211656075817</v>
      </c>
      <c r="G13" s="1">
        <v>7.6182932795045275</v>
      </c>
      <c r="H13" s="1">
        <v>7.4327492571322047</v>
      </c>
      <c r="I13" s="1">
        <v>7.9168510794760856</v>
      </c>
      <c r="J13" s="1">
        <v>8.9577540234173334</v>
      </c>
      <c r="K13" s="1">
        <v>9.9510907323573541</v>
      </c>
      <c r="L13" s="1">
        <v>10.631092075721583</v>
      </c>
      <c r="M13" s="1">
        <v>11.186281323432024</v>
      </c>
      <c r="N13" s="1">
        <v>11.593054341153641</v>
      </c>
      <c r="O13" s="1">
        <v>11.764119894209163</v>
      </c>
      <c r="P13" s="1">
        <v>11.737072282203904</v>
      </c>
      <c r="Q13" s="1">
        <v>11.567067006045836</v>
      </c>
      <c r="R13" s="1">
        <v>11.340493282381694</v>
      </c>
      <c r="S13" s="1">
        <v>11.176515777829877</v>
      </c>
      <c r="T13" s="1">
        <v>11.042376082569426</v>
      </c>
      <c r="U13" s="1">
        <v>10.925945506848308</v>
      </c>
      <c r="V13" s="1">
        <v>10.831031478537991</v>
      </c>
      <c r="W13" s="1">
        <v>10.748655018895512</v>
      </c>
      <c r="X13" s="1">
        <v>10.658288910614978</v>
      </c>
      <c r="Y13" s="1">
        <v>10.579242655438716</v>
      </c>
      <c r="Z13" s="1">
        <v>10.512584446148182</v>
      </c>
      <c r="AA13" s="1">
        <v>10.450429656792362</v>
      </c>
      <c r="AB13" s="1">
        <v>10.392326803112264</v>
      </c>
    </row>
    <row r="14" spans="1:28" x14ac:dyDescent="0.2">
      <c r="A14" s="15" t="s">
        <v>5</v>
      </c>
      <c r="B14" s="3" t="s">
        <v>0</v>
      </c>
      <c r="C14" s="11">
        <v>7.7083703132432735</v>
      </c>
      <c r="D14" s="4">
        <v>7.0909974537878178</v>
      </c>
      <c r="E14" s="4">
        <v>6.7212337145421674</v>
      </c>
      <c r="F14" s="4">
        <v>6.5387023071914117</v>
      </c>
      <c r="G14" s="4">
        <v>6.3515932321032036</v>
      </c>
      <c r="H14" s="4">
        <v>6.1734853271970378</v>
      </c>
      <c r="I14" s="4">
        <v>6.5856723590476385</v>
      </c>
      <c r="J14" s="4">
        <v>7.4620509457874817</v>
      </c>
      <c r="K14" s="4">
        <v>8.2691333456932838</v>
      </c>
      <c r="L14" s="4">
        <v>8.798319557315617</v>
      </c>
      <c r="M14" s="4">
        <v>9.2159868165727286</v>
      </c>
      <c r="N14" s="4">
        <v>9.4971627888891881</v>
      </c>
      <c r="O14" s="4">
        <v>9.5452485354245944</v>
      </c>
      <c r="P14" s="4">
        <v>9.3911886201791894</v>
      </c>
      <c r="Q14" s="4">
        <v>9.0949490629029128</v>
      </c>
      <c r="R14" s="4">
        <v>8.7305512932217315</v>
      </c>
      <c r="S14" s="4">
        <v>8.4234042186849329</v>
      </c>
      <c r="T14" s="4">
        <v>8.1940576349114753</v>
      </c>
      <c r="U14" s="4">
        <v>8.0247018900562139</v>
      </c>
      <c r="V14" s="4">
        <v>7.8960979305465564</v>
      </c>
      <c r="W14" s="4">
        <v>7.789514237043635</v>
      </c>
      <c r="X14" s="4">
        <v>7.7072119221213971</v>
      </c>
      <c r="Y14" s="4">
        <v>7.6408126017680651</v>
      </c>
      <c r="Z14" s="4">
        <v>7.5848169356245325</v>
      </c>
      <c r="AA14" s="4">
        <v>7.5350783149343794</v>
      </c>
      <c r="AB14" s="4">
        <v>7.4855023721060023</v>
      </c>
    </row>
    <row r="15" spans="1:28" x14ac:dyDescent="0.2">
      <c r="A15" s="16"/>
      <c r="B15" s="5" t="s">
        <v>1</v>
      </c>
      <c r="C15" s="10">
        <v>8.206951382243826</v>
      </c>
      <c r="D15" s="6">
        <v>7.5908689687462232</v>
      </c>
      <c r="E15" s="6">
        <v>7.2071685202843367</v>
      </c>
      <c r="F15" s="6">
        <v>7.0460543763271088</v>
      </c>
      <c r="G15" s="6">
        <v>6.8516135473677613</v>
      </c>
      <c r="H15" s="6">
        <v>6.6732210230065565</v>
      </c>
      <c r="I15" s="6">
        <v>7.1627953371245194</v>
      </c>
      <c r="J15" s="6">
        <v>8.1203953733056391</v>
      </c>
      <c r="K15" s="6">
        <v>9.0053536425555549</v>
      </c>
      <c r="L15" s="6">
        <v>9.6162067722312816</v>
      </c>
      <c r="M15" s="6">
        <v>10.080893212256695</v>
      </c>
      <c r="N15" s="6">
        <v>10.441846289778857</v>
      </c>
      <c r="O15" s="6">
        <v>10.525775730558161</v>
      </c>
      <c r="P15" s="6">
        <v>10.335306359686564</v>
      </c>
      <c r="Q15" s="6">
        <v>9.9824289647926054</v>
      </c>
      <c r="R15" s="6">
        <v>9.5551675002503114</v>
      </c>
      <c r="S15" s="6">
        <v>9.2093661466286338</v>
      </c>
      <c r="T15" s="6">
        <v>8.9382271763925232</v>
      </c>
      <c r="U15" s="6">
        <v>8.7379728104316197</v>
      </c>
      <c r="V15" s="6">
        <v>8.5986579632201554</v>
      </c>
      <c r="W15" s="6">
        <v>8.4972720978427869</v>
      </c>
      <c r="X15" s="6">
        <v>8.4073854295064034</v>
      </c>
      <c r="Y15" s="6">
        <v>8.3301309818107221</v>
      </c>
      <c r="Z15" s="6">
        <v>8.2717820127580381</v>
      </c>
      <c r="AA15" s="6">
        <v>8.2160171655066474</v>
      </c>
      <c r="AB15" s="6">
        <v>8.1709381736680289</v>
      </c>
    </row>
    <row r="16" spans="1:28" x14ac:dyDescent="0.2">
      <c r="A16" s="17"/>
      <c r="B16" s="7" t="s">
        <v>2</v>
      </c>
      <c r="C16" s="12">
        <v>8.8443663246109665</v>
      </c>
      <c r="D16" s="8">
        <v>8.3238779159872305</v>
      </c>
      <c r="E16" s="8">
        <v>7.9752171471327138</v>
      </c>
      <c r="F16" s="8">
        <v>7.8047211656075817</v>
      </c>
      <c r="G16" s="8">
        <v>7.6182932795045275</v>
      </c>
      <c r="H16" s="8">
        <v>7.4327492571322047</v>
      </c>
      <c r="I16" s="8">
        <v>7.9168510794760856</v>
      </c>
      <c r="J16" s="8">
        <v>8.9577540234173334</v>
      </c>
      <c r="K16" s="8">
        <v>9.9510907323573541</v>
      </c>
      <c r="L16" s="8">
        <v>10.631092075721583</v>
      </c>
      <c r="M16" s="8">
        <v>11.186281323402611</v>
      </c>
      <c r="N16" s="8">
        <v>11.587107343643018</v>
      </c>
      <c r="O16" s="8">
        <v>11.685922514149336</v>
      </c>
      <c r="P16" s="8">
        <v>11.491073615937086</v>
      </c>
      <c r="Q16" s="8">
        <v>11.086471579050979</v>
      </c>
      <c r="R16" s="8">
        <v>10.601330292647932</v>
      </c>
      <c r="S16" s="8">
        <v>10.206695335928913</v>
      </c>
      <c r="T16" s="8">
        <v>9.9129839705088898</v>
      </c>
      <c r="U16" s="8">
        <v>9.6971954497395885</v>
      </c>
      <c r="V16" s="8">
        <v>9.5368781609772864</v>
      </c>
      <c r="W16" s="8">
        <v>9.4120031123101917</v>
      </c>
      <c r="X16" s="8">
        <v>9.3069041916822819</v>
      </c>
      <c r="Y16" s="8">
        <v>9.2190667136320972</v>
      </c>
      <c r="Z16" s="8">
        <v>9.1449747735836908</v>
      </c>
      <c r="AA16" s="8">
        <v>9.080694430311107</v>
      </c>
      <c r="AB16" s="8">
        <v>9.0235781438768559</v>
      </c>
    </row>
    <row r="17" spans="1:28" ht="15" customHeight="1" x14ac:dyDescent="0.2">
      <c r="A17" s="18" t="s">
        <v>6</v>
      </c>
      <c r="B17" s="2" t="s">
        <v>0</v>
      </c>
      <c r="C17" s="10">
        <v>7.7083703132432735</v>
      </c>
      <c r="D17" s="1">
        <v>7.0909974537878178</v>
      </c>
      <c r="E17" s="1">
        <v>6.7212337145421674</v>
      </c>
      <c r="F17" s="1">
        <v>6.5387023071914117</v>
      </c>
      <c r="G17" s="1">
        <v>6.3515932321032036</v>
      </c>
      <c r="H17" s="1">
        <v>6.1734853271970378</v>
      </c>
      <c r="I17" s="1">
        <v>6.5856723590476385</v>
      </c>
      <c r="J17" s="1">
        <v>7.4620509457874817</v>
      </c>
      <c r="K17" s="1">
        <v>8.2691333456932838</v>
      </c>
      <c r="L17" s="1">
        <v>8.798319557315617</v>
      </c>
      <c r="M17" s="1">
        <v>9.2159868165810295</v>
      </c>
      <c r="N17" s="1">
        <v>9.4970683908460174</v>
      </c>
      <c r="O17" s="1">
        <v>9.5432644163109384</v>
      </c>
      <c r="P17" s="1">
        <v>9.382614090221475</v>
      </c>
      <c r="Q17" s="1">
        <v>9.0748041086771831</v>
      </c>
      <c r="R17" s="1">
        <v>8.6966216347104908</v>
      </c>
      <c r="S17" s="1">
        <v>8.3755205305502507</v>
      </c>
      <c r="T17" s="1">
        <v>8.1355378696614871</v>
      </c>
      <c r="U17" s="1">
        <v>7.958107498356541</v>
      </c>
      <c r="V17" s="1">
        <v>7.8046850385915327</v>
      </c>
      <c r="W17" s="1">
        <v>7.7022942996604673</v>
      </c>
      <c r="X17" s="1">
        <v>7.6301441497361253</v>
      </c>
      <c r="Y17" s="1">
        <v>7.5708237713621109</v>
      </c>
      <c r="Z17" s="1">
        <v>7.5201455885662361</v>
      </c>
      <c r="AA17" s="1">
        <v>7.4698581418925922</v>
      </c>
      <c r="AB17" s="1">
        <v>7.4248337269965763</v>
      </c>
    </row>
    <row r="18" spans="1:28" x14ac:dyDescent="0.2">
      <c r="A18" s="18"/>
      <c r="B18" s="2" t="s">
        <v>1</v>
      </c>
      <c r="C18" s="10">
        <v>8.206951382243826</v>
      </c>
      <c r="D18" s="1">
        <v>7.5908689687462232</v>
      </c>
      <c r="E18" s="1">
        <v>7.2071685202843367</v>
      </c>
      <c r="F18" s="1">
        <v>7.0460543763271088</v>
      </c>
      <c r="G18" s="1">
        <v>6.8516135473677613</v>
      </c>
      <c r="H18" s="1">
        <v>6.6732210230065565</v>
      </c>
      <c r="I18" s="1">
        <v>7.1627953371245194</v>
      </c>
      <c r="J18" s="1">
        <v>8.1203953733056391</v>
      </c>
      <c r="K18" s="1">
        <v>9.0053536425555549</v>
      </c>
      <c r="L18" s="1">
        <v>9.6162067722312816</v>
      </c>
      <c r="M18" s="1">
        <v>10.080893212265794</v>
      </c>
      <c r="N18" s="1">
        <v>10.44171287348696</v>
      </c>
      <c r="O18" s="1">
        <v>10.523476618784436</v>
      </c>
      <c r="P18" s="1">
        <v>10.326242911699921</v>
      </c>
      <c r="Q18" s="1">
        <v>9.9627507409220097</v>
      </c>
      <c r="R18" s="1">
        <v>9.5168119424700102</v>
      </c>
      <c r="S18" s="1">
        <v>9.1606902311248319</v>
      </c>
      <c r="T18" s="1">
        <v>8.8828296136918805</v>
      </c>
      <c r="U18" s="1">
        <v>8.6706122267181236</v>
      </c>
      <c r="V18" s="1">
        <v>8.5246017775918155</v>
      </c>
      <c r="W18" s="1">
        <v>8.4176246887460486</v>
      </c>
      <c r="X18" s="1">
        <v>8.327570829830286</v>
      </c>
      <c r="Y18" s="1">
        <v>8.26425349954539</v>
      </c>
      <c r="Z18" s="1">
        <v>8.2097601687378798</v>
      </c>
      <c r="AA18" s="1">
        <v>8.1602803403264499</v>
      </c>
      <c r="AB18" s="1">
        <v>8.1114090806389321</v>
      </c>
    </row>
    <row r="19" spans="1:28" x14ac:dyDescent="0.2">
      <c r="A19" s="18"/>
      <c r="B19" s="2" t="s">
        <v>2</v>
      </c>
      <c r="C19" s="10">
        <v>8.8443663246109665</v>
      </c>
      <c r="D19" s="1">
        <v>8.3238779159872305</v>
      </c>
      <c r="E19" s="1">
        <v>7.9752171471327138</v>
      </c>
      <c r="F19" s="1">
        <v>7.8047211656075817</v>
      </c>
      <c r="G19" s="1">
        <v>7.6182932795045275</v>
      </c>
      <c r="H19" s="1">
        <v>7.4327492571322047</v>
      </c>
      <c r="I19" s="1">
        <v>7.9168510794760856</v>
      </c>
      <c r="J19" s="1">
        <v>8.9577540234173334</v>
      </c>
      <c r="K19" s="1">
        <v>9.9510907323573541</v>
      </c>
      <c r="L19" s="1">
        <v>10.631092075721583</v>
      </c>
      <c r="M19" s="1">
        <v>11.186281323412416</v>
      </c>
      <c r="N19" s="1">
        <v>11.587099206261243</v>
      </c>
      <c r="O19" s="1">
        <v>11.684140669709716</v>
      </c>
      <c r="P19" s="1">
        <v>11.482451987534429</v>
      </c>
      <c r="Q19" s="1">
        <v>11.06446446593476</v>
      </c>
      <c r="R19" s="1">
        <v>10.56165928003208</v>
      </c>
      <c r="S19" s="1">
        <v>10.149249133161465</v>
      </c>
      <c r="T19" s="1">
        <v>9.8413282802771995</v>
      </c>
      <c r="U19" s="1">
        <v>9.616111328262674</v>
      </c>
      <c r="V19" s="1">
        <v>9.4508155555665603</v>
      </c>
      <c r="W19" s="1">
        <v>9.3177843815676162</v>
      </c>
      <c r="X19" s="1">
        <v>9.2120805159178332</v>
      </c>
      <c r="Y19" s="1">
        <v>9.1282077400482056</v>
      </c>
      <c r="Z19" s="1">
        <v>9.0594828573929789</v>
      </c>
      <c r="AA19" s="1">
        <v>9.001380212191421</v>
      </c>
      <c r="AB19" s="1">
        <v>8.9485161730043714</v>
      </c>
    </row>
    <row r="20" spans="1:28" x14ac:dyDescent="0.2">
      <c r="A20" s="15" t="s">
        <v>7</v>
      </c>
      <c r="B20" s="3" t="s">
        <v>0</v>
      </c>
      <c r="C20" s="11">
        <v>7.7083703132432735</v>
      </c>
      <c r="D20" s="4">
        <v>7.0909974537878178</v>
      </c>
      <c r="E20" s="4">
        <v>6.7212337145421674</v>
      </c>
      <c r="F20" s="4">
        <v>6.5387023071914117</v>
      </c>
      <c r="G20" s="4">
        <v>6.3515932321032036</v>
      </c>
      <c r="H20" s="4">
        <v>6.1734853271970378</v>
      </c>
      <c r="I20" s="4">
        <v>6.5856723590476385</v>
      </c>
      <c r="J20" s="4">
        <v>7.4620509457874817</v>
      </c>
      <c r="K20" s="4">
        <v>8.2691333456932838</v>
      </c>
      <c r="L20" s="4">
        <v>8.798319557315617</v>
      </c>
      <c r="M20" s="4">
        <v>9.2159868209073394</v>
      </c>
      <c r="N20" s="4">
        <v>9.4405307037887027</v>
      </c>
      <c r="O20" s="4">
        <v>9.2674754258759329</v>
      </c>
      <c r="P20" s="4">
        <v>8.8269842929285147</v>
      </c>
      <c r="Q20" s="4">
        <v>8.2088078717006443</v>
      </c>
      <c r="R20" s="4">
        <v>7.5774646954137177</v>
      </c>
      <c r="S20" s="4">
        <v>7.1287926867470048</v>
      </c>
      <c r="T20" s="4">
        <v>6.8152608674482185</v>
      </c>
      <c r="U20" s="4">
        <v>6.5859073320173458</v>
      </c>
      <c r="V20" s="4">
        <v>6.3992221091378809</v>
      </c>
      <c r="W20" s="4">
        <v>6.2580858665808377</v>
      </c>
      <c r="X20" s="4">
        <v>6.1431240161898071</v>
      </c>
      <c r="Y20" s="4">
        <v>6.0563460910810711</v>
      </c>
      <c r="Z20" s="4">
        <v>5.9824198845823879</v>
      </c>
      <c r="AA20" s="4">
        <v>5.9161492977503816</v>
      </c>
      <c r="AB20" s="4">
        <v>5.856025383824587</v>
      </c>
    </row>
    <row r="21" spans="1:28" x14ac:dyDescent="0.2">
      <c r="A21" s="16"/>
      <c r="B21" s="5" t="s">
        <v>1</v>
      </c>
      <c r="C21" s="10">
        <v>8.206951382243826</v>
      </c>
      <c r="D21" s="6">
        <v>7.5908689687462232</v>
      </c>
      <c r="E21" s="6">
        <v>7.2071685202843367</v>
      </c>
      <c r="F21" s="6">
        <v>7.0460543763271088</v>
      </c>
      <c r="G21" s="6">
        <v>6.8516135473677613</v>
      </c>
      <c r="H21" s="6">
        <v>6.6732210230065565</v>
      </c>
      <c r="I21" s="6">
        <v>7.1627953371245194</v>
      </c>
      <c r="J21" s="6">
        <v>8.1203953733056391</v>
      </c>
      <c r="K21" s="6">
        <v>9.0053536425555549</v>
      </c>
      <c r="L21" s="6">
        <v>9.6162067722312816</v>
      </c>
      <c r="M21" s="6">
        <v>10.080893216223144</v>
      </c>
      <c r="N21" s="6">
        <v>10.377187799590278</v>
      </c>
      <c r="O21" s="6">
        <v>10.21499294641427</v>
      </c>
      <c r="P21" s="6">
        <v>9.7235942001800346</v>
      </c>
      <c r="Q21" s="6">
        <v>9.0217552609536469</v>
      </c>
      <c r="R21" s="6">
        <v>8.2855503339456753</v>
      </c>
      <c r="S21" s="6">
        <v>7.758082439310229</v>
      </c>
      <c r="T21" s="6">
        <v>7.3820876067890007</v>
      </c>
      <c r="U21" s="6">
        <v>7.121701612462652</v>
      </c>
      <c r="V21" s="6">
        <v>6.9215907563463084</v>
      </c>
      <c r="W21" s="6">
        <v>6.7839946558207878</v>
      </c>
      <c r="X21" s="6">
        <v>6.6655994700465229</v>
      </c>
      <c r="Y21" s="6">
        <v>6.5690535761897735</v>
      </c>
      <c r="Z21" s="6">
        <v>6.4885614712945019</v>
      </c>
      <c r="AA21" s="6">
        <v>6.4192604222792307</v>
      </c>
      <c r="AB21" s="6">
        <v>6.3557799596962239</v>
      </c>
    </row>
    <row r="22" spans="1:28" x14ac:dyDescent="0.2">
      <c r="A22" s="17"/>
      <c r="B22" s="7" t="s">
        <v>2</v>
      </c>
      <c r="C22" s="12">
        <v>8.8443663246109665</v>
      </c>
      <c r="D22" s="8">
        <v>8.3238779159872305</v>
      </c>
      <c r="E22" s="8">
        <v>7.9752171471327138</v>
      </c>
      <c r="F22" s="8">
        <v>7.8047211656075817</v>
      </c>
      <c r="G22" s="8">
        <v>7.6182932795045275</v>
      </c>
      <c r="H22" s="8">
        <v>7.4327492571322047</v>
      </c>
      <c r="I22" s="8">
        <v>7.9168510794760856</v>
      </c>
      <c r="J22" s="8">
        <v>8.9577540234173334</v>
      </c>
      <c r="K22" s="8">
        <v>9.9510907323573541</v>
      </c>
      <c r="L22" s="8">
        <v>10.631092075721583</v>
      </c>
      <c r="M22" s="8">
        <v>11.186281332623146</v>
      </c>
      <c r="N22" s="8">
        <v>11.513476986892043</v>
      </c>
      <c r="O22" s="8">
        <v>11.346668106295756</v>
      </c>
      <c r="P22" s="8">
        <v>10.795378173588297</v>
      </c>
      <c r="Q22" s="8">
        <v>9.9995836034124803</v>
      </c>
      <c r="R22" s="8">
        <v>9.1714213006637593</v>
      </c>
      <c r="S22" s="8">
        <v>8.5692824829984247</v>
      </c>
      <c r="T22" s="8">
        <v>8.1259190397390366</v>
      </c>
      <c r="U22" s="8">
        <v>7.8160685622924762</v>
      </c>
      <c r="V22" s="8">
        <v>7.5893640169526666</v>
      </c>
      <c r="W22" s="8">
        <v>7.4192210087035457</v>
      </c>
      <c r="X22" s="8">
        <v>7.2870768728525377</v>
      </c>
      <c r="Y22" s="8">
        <v>7.1798212393605123</v>
      </c>
      <c r="Z22" s="8">
        <v>7.0905978614125491</v>
      </c>
      <c r="AA22" s="8">
        <v>7.011224954165181</v>
      </c>
      <c r="AB22" s="8">
        <v>6.9396290428100578</v>
      </c>
    </row>
    <row r="25" spans="1:28" x14ac:dyDescent="0.2">
      <c r="A25" s="14" t="s">
        <v>13</v>
      </c>
    </row>
    <row r="26" spans="1:28" x14ac:dyDescent="0.2">
      <c r="A26" s="2" t="s">
        <v>9</v>
      </c>
    </row>
    <row r="27" spans="1:28" x14ac:dyDescent="0.2">
      <c r="A27" s="13" t="s">
        <v>10</v>
      </c>
    </row>
    <row r="28" spans="1:28" x14ac:dyDescent="0.2">
      <c r="A28" s="2" t="s">
        <v>12</v>
      </c>
    </row>
  </sheetData>
  <mergeCells count="6">
    <mergeCell ref="A20:A22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EB78-23B0-5742-A74D-2CFD8CF26AFF}">
  <dimension ref="A2:AB28"/>
  <sheetViews>
    <sheetView tabSelected="1" zoomScale="150" zoomScaleNormal="150" workbookViewId="0">
      <selection activeCell="H28" sqref="H28"/>
    </sheetView>
  </sheetViews>
  <sheetFormatPr baseColWidth="10" defaultColWidth="8.83203125" defaultRowHeight="15" x14ac:dyDescent="0.2"/>
  <cols>
    <col min="1" max="1" width="17.83203125" customWidth="1"/>
    <col min="3" max="28" width="11.6640625" customWidth="1"/>
  </cols>
  <sheetData>
    <row r="2" spans="1:28" ht="17" x14ac:dyDescent="0.2">
      <c r="A2" s="19" t="s">
        <v>16</v>
      </c>
    </row>
    <row r="4" spans="1:28" x14ac:dyDescent="0.2">
      <c r="A4" s="14" t="s">
        <v>11</v>
      </c>
      <c r="C4" s="9">
        <v>2015</v>
      </c>
      <c r="D4">
        <f t="shared" ref="D4:AB4" si="0">C4+1</f>
        <v>2016</v>
      </c>
      <c r="E4">
        <f t="shared" si="0"/>
        <v>2017</v>
      </c>
      <c r="F4">
        <f t="shared" si="0"/>
        <v>2018</v>
      </c>
      <c r="G4">
        <f t="shared" si="0"/>
        <v>2019</v>
      </c>
      <c r="H4">
        <f t="shared" si="0"/>
        <v>2020</v>
      </c>
      <c r="I4">
        <f t="shared" si="0"/>
        <v>2021</v>
      </c>
      <c r="J4">
        <f t="shared" si="0"/>
        <v>2022</v>
      </c>
      <c r="K4">
        <f t="shared" si="0"/>
        <v>2023</v>
      </c>
      <c r="L4">
        <f t="shared" si="0"/>
        <v>2024</v>
      </c>
      <c r="M4">
        <f t="shared" si="0"/>
        <v>2025</v>
      </c>
      <c r="N4">
        <f t="shared" si="0"/>
        <v>2026</v>
      </c>
      <c r="O4">
        <f t="shared" si="0"/>
        <v>2027</v>
      </c>
      <c r="P4">
        <f t="shared" si="0"/>
        <v>2028</v>
      </c>
      <c r="Q4">
        <f t="shared" si="0"/>
        <v>2029</v>
      </c>
      <c r="R4">
        <f t="shared" si="0"/>
        <v>2030</v>
      </c>
      <c r="S4">
        <f t="shared" si="0"/>
        <v>2031</v>
      </c>
      <c r="T4">
        <f t="shared" si="0"/>
        <v>2032</v>
      </c>
      <c r="U4">
        <f t="shared" si="0"/>
        <v>2033</v>
      </c>
      <c r="V4">
        <f t="shared" si="0"/>
        <v>2034</v>
      </c>
      <c r="W4">
        <f t="shared" si="0"/>
        <v>2035</v>
      </c>
      <c r="X4">
        <f t="shared" si="0"/>
        <v>2036</v>
      </c>
      <c r="Y4">
        <f t="shared" si="0"/>
        <v>2037</v>
      </c>
      <c r="Z4">
        <f t="shared" si="0"/>
        <v>2038</v>
      </c>
      <c r="AA4">
        <f t="shared" si="0"/>
        <v>2039</v>
      </c>
      <c r="AB4">
        <f t="shared" si="0"/>
        <v>2040</v>
      </c>
    </row>
    <row r="5" spans="1:28" x14ac:dyDescent="0.2">
      <c r="A5" s="15" t="s">
        <v>8</v>
      </c>
      <c r="B5" s="3" t="s">
        <v>0</v>
      </c>
      <c r="C5" s="20">
        <v>3.9720352699089849</v>
      </c>
      <c r="D5" s="21">
        <v>3.71047276813557</v>
      </c>
      <c r="E5" s="21">
        <v>3.570601439343799</v>
      </c>
      <c r="F5" s="21">
        <v>3.5257902962226617</v>
      </c>
      <c r="G5" s="21">
        <v>3.4755622816983442</v>
      </c>
      <c r="H5" s="21">
        <v>3.4273464430100464</v>
      </c>
      <c r="I5" s="21">
        <v>3.7087130251937817</v>
      </c>
      <c r="J5" s="21">
        <v>4.261766980474273</v>
      </c>
      <c r="K5" s="21">
        <v>4.7886725683623403</v>
      </c>
      <c r="L5" s="21">
        <v>5.153019066648441</v>
      </c>
      <c r="M5" s="21">
        <v>5.4508337270848015</v>
      </c>
      <c r="N5" s="21">
        <v>5.6834628564371759</v>
      </c>
      <c r="O5" s="21">
        <v>5.8611745893307008</v>
      </c>
      <c r="P5" s="21">
        <v>5.9973903356141056</v>
      </c>
      <c r="Q5" s="21">
        <v>6.1065122704260952</v>
      </c>
      <c r="R5" s="21">
        <v>6.196112272786344</v>
      </c>
      <c r="S5" s="21">
        <v>6.2734931870883281</v>
      </c>
      <c r="T5" s="21">
        <v>6.3418929663324244</v>
      </c>
      <c r="U5" s="21">
        <v>6.3997580606172813</v>
      </c>
      <c r="V5" s="21">
        <v>6.4492900815849152</v>
      </c>
      <c r="W5" s="21">
        <v>6.4922183802168592</v>
      </c>
      <c r="X5" s="21">
        <v>6.5304881790639726</v>
      </c>
      <c r="Y5" s="21">
        <v>6.5651766667111495</v>
      </c>
      <c r="Z5" s="21">
        <v>6.5971325059146588</v>
      </c>
      <c r="AA5" s="21">
        <v>6.6270222843728526</v>
      </c>
      <c r="AB5" s="21">
        <v>6.6553683304070255</v>
      </c>
    </row>
    <row r="6" spans="1:28" x14ac:dyDescent="0.2">
      <c r="A6" s="16"/>
      <c r="B6" s="5" t="s">
        <v>1</v>
      </c>
      <c r="C6" s="22">
        <v>4.2289484059549727</v>
      </c>
      <c r="D6" s="23">
        <v>3.9720381763743036</v>
      </c>
      <c r="E6" s="23">
        <v>3.8287504028378359</v>
      </c>
      <c r="F6" s="23">
        <v>3.7993639990902395</v>
      </c>
      <c r="G6" s="23">
        <v>3.7491710731166434</v>
      </c>
      <c r="H6" s="23">
        <v>3.7047857287134374</v>
      </c>
      <c r="I6" s="23">
        <v>4.0337190973515957</v>
      </c>
      <c r="J6" s="23">
        <v>4.6377642181452394</v>
      </c>
      <c r="K6" s="23">
        <v>5.2150192957001069</v>
      </c>
      <c r="L6" s="23">
        <v>5.6320410418532481</v>
      </c>
      <c r="M6" s="23">
        <v>5.9623864026163353</v>
      </c>
      <c r="N6" s="23">
        <v>6.2520145218617591</v>
      </c>
      <c r="O6" s="23">
        <v>6.4778834878235623</v>
      </c>
      <c r="P6" s="23">
        <v>6.659522969975523</v>
      </c>
      <c r="Q6" s="23">
        <v>6.8070268840289803</v>
      </c>
      <c r="R6" s="23">
        <v>6.9264510472321188</v>
      </c>
      <c r="S6" s="23">
        <v>7.0237337269537212</v>
      </c>
      <c r="T6" s="23">
        <v>7.1055993443690149</v>
      </c>
      <c r="U6" s="23">
        <v>7.1694699493655527</v>
      </c>
      <c r="V6" s="23">
        <v>7.2206319538860901</v>
      </c>
      <c r="W6" s="23">
        <v>7.2759007747518112</v>
      </c>
      <c r="X6" s="23">
        <v>7.3195767880121601</v>
      </c>
      <c r="Y6" s="23">
        <v>7.365680655500543</v>
      </c>
      <c r="Z6" s="23">
        <v>7.3925272845624308</v>
      </c>
      <c r="AA6" s="23">
        <v>7.4219593731244835</v>
      </c>
      <c r="AB6" s="23">
        <v>7.4593153454245984</v>
      </c>
    </row>
    <row r="7" spans="1:28" x14ac:dyDescent="0.2">
      <c r="A7" s="17"/>
      <c r="B7" s="7" t="s">
        <v>2</v>
      </c>
      <c r="C7" s="24">
        <v>4.5574010528522679</v>
      </c>
      <c r="D7" s="25">
        <v>4.3555963083948743</v>
      </c>
      <c r="E7" s="25">
        <v>4.2367700684205616</v>
      </c>
      <c r="F7" s="25">
        <v>4.208451288592558</v>
      </c>
      <c r="G7" s="25">
        <v>4.1686946574811286</v>
      </c>
      <c r="H7" s="25">
        <v>4.1264545678905709</v>
      </c>
      <c r="I7" s="25">
        <v>4.4583646310060869</v>
      </c>
      <c r="J7" s="25">
        <v>5.1160010288809143</v>
      </c>
      <c r="K7" s="25">
        <v>5.7626976399095895</v>
      </c>
      <c r="L7" s="25">
        <v>6.2264412890002623</v>
      </c>
      <c r="M7" s="25">
        <v>6.6161724140322962</v>
      </c>
      <c r="N7" s="25">
        <v>6.9380671211021978</v>
      </c>
      <c r="O7" s="25">
        <v>7.2027803856507822</v>
      </c>
      <c r="P7" s="25">
        <v>7.4162652873541104</v>
      </c>
      <c r="Q7" s="25">
        <v>7.5927170654037397</v>
      </c>
      <c r="R7" s="25">
        <v>7.7387547865379309</v>
      </c>
      <c r="S7" s="25">
        <v>7.8599822749253789</v>
      </c>
      <c r="T7" s="25">
        <v>7.962132473004865</v>
      </c>
      <c r="U7" s="25">
        <v>8.0501669569581082</v>
      </c>
      <c r="V7" s="25">
        <v>8.1256275046975492</v>
      </c>
      <c r="W7" s="25">
        <v>8.1871211901903465</v>
      </c>
      <c r="X7" s="25">
        <v>8.2346481680960117</v>
      </c>
      <c r="Y7" s="25">
        <v>8.2817461680516899</v>
      </c>
      <c r="Z7" s="25">
        <v>8.3254214293806097</v>
      </c>
      <c r="AA7" s="25">
        <v>8.3656445310237704</v>
      </c>
      <c r="AB7" s="25">
        <v>8.4032565381905151</v>
      </c>
    </row>
    <row r="8" spans="1:28" x14ac:dyDescent="0.2">
      <c r="A8" s="15" t="s">
        <v>3</v>
      </c>
      <c r="B8" s="3" t="s">
        <v>0</v>
      </c>
      <c r="C8" s="20">
        <v>3.9720352699089849</v>
      </c>
      <c r="D8" s="21">
        <v>3.71047276813557</v>
      </c>
      <c r="E8" s="21">
        <v>3.570601439343799</v>
      </c>
      <c r="F8" s="21">
        <v>3.5257902962226617</v>
      </c>
      <c r="G8" s="21">
        <v>3.4755622816983442</v>
      </c>
      <c r="H8" s="21">
        <v>3.4273464430100464</v>
      </c>
      <c r="I8" s="21">
        <v>3.7087130251937817</v>
      </c>
      <c r="J8" s="21">
        <v>4.261766980474273</v>
      </c>
      <c r="K8" s="21">
        <v>4.7886725683623403</v>
      </c>
      <c r="L8" s="21">
        <v>5.153019066648441</v>
      </c>
      <c r="M8" s="21">
        <v>5.4508332803857096</v>
      </c>
      <c r="N8" s="21">
        <v>5.666945962808871</v>
      </c>
      <c r="O8" s="21">
        <v>5.7640995722934587</v>
      </c>
      <c r="P8" s="21">
        <v>5.7734496871766421</v>
      </c>
      <c r="Q8" s="21">
        <v>5.7267848127600409</v>
      </c>
      <c r="R8" s="21">
        <v>5.6582602436946239</v>
      </c>
      <c r="S8" s="21">
        <v>5.6102037964023337</v>
      </c>
      <c r="T8" s="21">
        <v>5.573989020220532</v>
      </c>
      <c r="U8" s="21">
        <v>5.5452876979200889</v>
      </c>
      <c r="V8" s="21">
        <v>5.5221427021852723</v>
      </c>
      <c r="W8" s="21">
        <v>5.5032169674131781</v>
      </c>
      <c r="X8" s="21">
        <v>5.4879926948614886</v>
      </c>
      <c r="Y8" s="21">
        <v>5.475482669770023</v>
      </c>
      <c r="Z8" s="21">
        <v>5.4648832103967697</v>
      </c>
      <c r="AA8" s="21">
        <v>5.4561581349383363</v>
      </c>
      <c r="AB8" s="21">
        <v>5.4489844175848683</v>
      </c>
    </row>
    <row r="9" spans="1:28" x14ac:dyDescent="0.2">
      <c r="A9" s="16"/>
      <c r="B9" s="5" t="s">
        <v>1</v>
      </c>
      <c r="C9" s="22">
        <v>4.2289484059549727</v>
      </c>
      <c r="D9" s="23">
        <v>3.9720381763743036</v>
      </c>
      <c r="E9" s="23">
        <v>3.8287504028378359</v>
      </c>
      <c r="F9" s="23">
        <v>3.7993639990902395</v>
      </c>
      <c r="G9" s="23">
        <v>3.7491710731166434</v>
      </c>
      <c r="H9" s="23">
        <v>3.7047857287134374</v>
      </c>
      <c r="I9" s="23">
        <v>4.0337190973515957</v>
      </c>
      <c r="J9" s="23">
        <v>4.6377642181452394</v>
      </c>
      <c r="K9" s="23">
        <v>5.2150192957001069</v>
      </c>
      <c r="L9" s="23">
        <v>5.6320410418532481</v>
      </c>
      <c r="M9" s="23">
        <v>5.9623857228657062</v>
      </c>
      <c r="N9" s="23">
        <v>6.2326701836264515</v>
      </c>
      <c r="O9" s="23">
        <v>6.3640490264895506</v>
      </c>
      <c r="P9" s="23">
        <v>6.3789417460953342</v>
      </c>
      <c r="Q9" s="23">
        <v>6.3301657694131528</v>
      </c>
      <c r="R9" s="23">
        <v>6.255709560875542</v>
      </c>
      <c r="S9" s="23">
        <v>6.1972031062206074</v>
      </c>
      <c r="T9" s="23">
        <v>6.1522917577574745</v>
      </c>
      <c r="U9" s="23">
        <v>6.1157964393053401</v>
      </c>
      <c r="V9" s="23">
        <v>6.0829812175169549</v>
      </c>
      <c r="W9" s="23">
        <v>6.0568743960731641</v>
      </c>
      <c r="X9" s="23">
        <v>6.0348204084613144</v>
      </c>
      <c r="Y9" s="23">
        <v>6.0160612957959669</v>
      </c>
      <c r="Z9" s="23">
        <v>6.0059373172723856</v>
      </c>
      <c r="AA9" s="23">
        <v>5.9980249271404231</v>
      </c>
      <c r="AB9" s="23">
        <v>5.9919297470969246</v>
      </c>
    </row>
    <row r="10" spans="1:28" x14ac:dyDescent="0.2">
      <c r="A10" s="17"/>
      <c r="B10" s="7" t="s">
        <v>2</v>
      </c>
      <c r="C10" s="24">
        <v>4.5574010528522679</v>
      </c>
      <c r="D10" s="25">
        <v>4.3555963083948743</v>
      </c>
      <c r="E10" s="25">
        <v>4.2367700684205616</v>
      </c>
      <c r="F10" s="25">
        <v>4.208451288592558</v>
      </c>
      <c r="G10" s="25">
        <v>4.1686946574811286</v>
      </c>
      <c r="H10" s="25">
        <v>4.1264545678905709</v>
      </c>
      <c r="I10" s="25">
        <v>4.4583646310060869</v>
      </c>
      <c r="J10" s="25">
        <v>5.1160010288809143</v>
      </c>
      <c r="K10" s="25">
        <v>5.7626976399095895</v>
      </c>
      <c r="L10" s="25">
        <v>6.2264412890002623</v>
      </c>
      <c r="M10" s="25">
        <v>6.616172064434898</v>
      </c>
      <c r="N10" s="25">
        <v>6.9142374783244387</v>
      </c>
      <c r="O10" s="25">
        <v>7.0651789590855181</v>
      </c>
      <c r="P10" s="25">
        <v>7.0872696640723962</v>
      </c>
      <c r="Q10" s="25">
        <v>7.0216300101732187</v>
      </c>
      <c r="R10" s="25">
        <v>6.9191416957572258</v>
      </c>
      <c r="S10" s="25">
        <v>6.8518796856052155</v>
      </c>
      <c r="T10" s="25">
        <v>6.8010060384427558</v>
      </c>
      <c r="U10" s="25">
        <v>6.7596875258894382</v>
      </c>
      <c r="V10" s="25">
        <v>6.7304642442772344</v>
      </c>
      <c r="W10" s="25">
        <v>6.7081319739484808</v>
      </c>
      <c r="X10" s="25">
        <v>6.6803280071594724</v>
      </c>
      <c r="Y10" s="25">
        <v>6.6595289308826393</v>
      </c>
      <c r="Z10" s="25">
        <v>6.6459629198106907</v>
      </c>
      <c r="AA10" s="25">
        <v>6.6349405614240169</v>
      </c>
      <c r="AB10" s="25">
        <v>6.6261895527565793</v>
      </c>
    </row>
    <row r="11" spans="1:28" x14ac:dyDescent="0.2">
      <c r="A11" s="18" t="s">
        <v>4</v>
      </c>
      <c r="B11" s="2" t="s">
        <v>0</v>
      </c>
      <c r="C11" s="22">
        <v>3.9720352699089849</v>
      </c>
      <c r="D11" s="26">
        <v>3.71047276813557</v>
      </c>
      <c r="E11" s="26">
        <v>3.570601439343799</v>
      </c>
      <c r="F11" s="26">
        <v>3.5257902962226617</v>
      </c>
      <c r="G11" s="26">
        <v>3.4755622816983442</v>
      </c>
      <c r="H11" s="26">
        <v>3.4273464430100464</v>
      </c>
      <c r="I11" s="26">
        <v>3.7087130251937817</v>
      </c>
      <c r="J11" s="26">
        <v>4.261766980474273</v>
      </c>
      <c r="K11" s="26">
        <v>4.7886725683623403</v>
      </c>
      <c r="L11" s="26">
        <v>5.153019066648441</v>
      </c>
      <c r="M11" s="26">
        <v>5.4508332803754502</v>
      </c>
      <c r="N11" s="26">
        <v>5.6666585669492573</v>
      </c>
      <c r="O11" s="26">
        <v>5.7628481118414845</v>
      </c>
      <c r="P11" s="26">
        <v>5.771218806295324</v>
      </c>
      <c r="Q11" s="26">
        <v>5.7237506024092255</v>
      </c>
      <c r="R11" s="26">
        <v>5.6549497422292436</v>
      </c>
      <c r="S11" s="26">
        <v>5.6076507123427985</v>
      </c>
      <c r="T11" s="26">
        <v>5.5723327910136495</v>
      </c>
      <c r="U11" s="26">
        <v>5.5444288370671089</v>
      </c>
      <c r="V11" s="26">
        <v>5.5219830606116354</v>
      </c>
      <c r="W11" s="26">
        <v>5.5036710042854464</v>
      </c>
      <c r="X11" s="26">
        <v>5.4889905907627368</v>
      </c>
      <c r="Y11" s="26">
        <v>5.4771825755204997</v>
      </c>
      <c r="Z11" s="26">
        <v>5.4670688062724224</v>
      </c>
      <c r="AA11" s="26">
        <v>5.4587921019887311</v>
      </c>
      <c r="AB11" s="26">
        <v>5.4520379812516273</v>
      </c>
    </row>
    <row r="12" spans="1:28" x14ac:dyDescent="0.2">
      <c r="A12" s="18"/>
      <c r="B12" s="2" t="s">
        <v>1</v>
      </c>
      <c r="C12" s="22">
        <v>4.2289484059549727</v>
      </c>
      <c r="D12" s="26">
        <v>3.9720381763743036</v>
      </c>
      <c r="E12" s="26">
        <v>3.8287504028378359</v>
      </c>
      <c r="F12" s="26">
        <v>3.7993639990902395</v>
      </c>
      <c r="G12" s="26">
        <v>3.7491710731166434</v>
      </c>
      <c r="H12" s="26">
        <v>3.7047857287134374</v>
      </c>
      <c r="I12" s="26">
        <v>4.0337190973515957</v>
      </c>
      <c r="J12" s="26">
        <v>4.6377642181452394</v>
      </c>
      <c r="K12" s="26">
        <v>5.2150192957001069</v>
      </c>
      <c r="L12" s="26">
        <v>5.6320410418532481</v>
      </c>
      <c r="M12" s="26">
        <v>5.9623857228657062</v>
      </c>
      <c r="N12" s="26">
        <v>6.2323426997511993</v>
      </c>
      <c r="O12" s="26">
        <v>6.3626265505630251</v>
      </c>
      <c r="P12" s="26">
        <v>6.376314100980097</v>
      </c>
      <c r="Q12" s="26">
        <v>6.3264165895918429</v>
      </c>
      <c r="R12" s="26">
        <v>6.2523757642138298</v>
      </c>
      <c r="S12" s="26">
        <v>6.1945786994368115</v>
      </c>
      <c r="T12" s="26">
        <v>6.1501704910532915</v>
      </c>
      <c r="U12" s="26">
        <v>6.1145887989223917</v>
      </c>
      <c r="V12" s="26">
        <v>6.0826513690958688</v>
      </c>
      <c r="W12" s="26">
        <v>6.0572544082429296</v>
      </c>
      <c r="X12" s="26">
        <v>6.0358363185639421</v>
      </c>
      <c r="Y12" s="26">
        <v>6.0176521736731345</v>
      </c>
      <c r="Z12" s="26">
        <v>6.007904211795406</v>
      </c>
      <c r="AA12" s="26">
        <v>6.0004282860022249</v>
      </c>
      <c r="AB12" s="26">
        <v>5.9947420054178746</v>
      </c>
    </row>
    <row r="13" spans="1:28" x14ac:dyDescent="0.2">
      <c r="A13" s="18"/>
      <c r="B13" s="2" t="s">
        <v>2</v>
      </c>
      <c r="C13" s="22">
        <v>4.5574010528522679</v>
      </c>
      <c r="D13" s="26">
        <v>4.3555963083948743</v>
      </c>
      <c r="E13" s="26">
        <v>4.2367700684205616</v>
      </c>
      <c r="F13" s="26">
        <v>4.208451288592558</v>
      </c>
      <c r="G13" s="26">
        <v>4.1686946574811286</v>
      </c>
      <c r="H13" s="26">
        <v>4.1264545678905709</v>
      </c>
      <c r="I13" s="26">
        <v>4.4583646310060869</v>
      </c>
      <c r="J13" s="26">
        <v>5.1160010288809143</v>
      </c>
      <c r="K13" s="26">
        <v>5.7626976399095895</v>
      </c>
      <c r="L13" s="26">
        <v>6.2264412890002623</v>
      </c>
      <c r="M13" s="26">
        <v>6.6161720643601099</v>
      </c>
      <c r="N13" s="26">
        <v>6.9139424939969469</v>
      </c>
      <c r="O13" s="26">
        <v>7.0637737900794191</v>
      </c>
      <c r="P13" s="26">
        <v>7.0847326273204256</v>
      </c>
      <c r="Q13" s="26">
        <v>7.018138732050387</v>
      </c>
      <c r="R13" s="26">
        <v>6.9153076045505184</v>
      </c>
      <c r="S13" s="26">
        <v>6.8487426559748057</v>
      </c>
      <c r="T13" s="26">
        <v>6.7988503620213194</v>
      </c>
      <c r="U13" s="26">
        <v>6.7584422269503355</v>
      </c>
      <c r="V13" s="26">
        <v>6.7301112810857902</v>
      </c>
      <c r="W13" s="26">
        <v>6.7084686281334989</v>
      </c>
      <c r="X13" s="26">
        <v>6.6813646603009955</v>
      </c>
      <c r="Y13" s="26">
        <v>6.6608911235504031</v>
      </c>
      <c r="Z13" s="26">
        <v>6.6478168498754551</v>
      </c>
      <c r="AA13" s="26">
        <v>6.6372363359548965</v>
      </c>
      <c r="AB13" s="26">
        <v>6.6288987303389666</v>
      </c>
    </row>
    <row r="14" spans="1:28" x14ac:dyDescent="0.2">
      <c r="A14" s="15" t="s">
        <v>5</v>
      </c>
      <c r="B14" s="3" t="s">
        <v>0</v>
      </c>
      <c r="C14" s="20">
        <v>3.9720352699089849</v>
      </c>
      <c r="D14" s="21">
        <v>3.71047276813557</v>
      </c>
      <c r="E14" s="21">
        <v>3.570601439343799</v>
      </c>
      <c r="F14" s="21">
        <v>3.5257902962226617</v>
      </c>
      <c r="G14" s="21">
        <v>3.4755622816983442</v>
      </c>
      <c r="H14" s="21">
        <v>3.4273464430100464</v>
      </c>
      <c r="I14" s="21">
        <v>3.7087130251937817</v>
      </c>
      <c r="J14" s="21">
        <v>4.261766980474273</v>
      </c>
      <c r="K14" s="21">
        <v>4.7886725683623403</v>
      </c>
      <c r="L14" s="21">
        <v>5.153019066648441</v>
      </c>
      <c r="M14" s="21">
        <v>5.4508332803677559</v>
      </c>
      <c r="N14" s="21">
        <v>5.6639808152553961</v>
      </c>
      <c r="O14" s="21">
        <v>5.7314509738647024</v>
      </c>
      <c r="P14" s="21">
        <v>5.6687101201195382</v>
      </c>
      <c r="Q14" s="21">
        <v>5.5182194631553587</v>
      </c>
      <c r="R14" s="21">
        <v>5.323793793320335</v>
      </c>
      <c r="S14" s="21">
        <v>5.1616916155087411</v>
      </c>
      <c r="T14" s="21">
        <v>5.0451253698450707</v>
      </c>
      <c r="U14" s="21">
        <v>4.9638252431746324</v>
      </c>
      <c r="V14" s="21">
        <v>4.906422612124361</v>
      </c>
      <c r="W14" s="21">
        <v>4.8616047120075923</v>
      </c>
      <c r="X14" s="21">
        <v>4.8314221727116973</v>
      </c>
      <c r="Y14" s="21">
        <v>4.8108000254313472</v>
      </c>
      <c r="Z14" s="21">
        <v>4.7963917993867149</v>
      </c>
      <c r="AA14" s="21">
        <v>4.7856497032772616</v>
      </c>
      <c r="AB14" s="21">
        <v>4.7747379494977551</v>
      </c>
    </row>
    <row r="15" spans="1:28" x14ac:dyDescent="0.2">
      <c r="A15" s="16"/>
      <c r="B15" s="5" t="s">
        <v>1</v>
      </c>
      <c r="C15" s="22">
        <v>4.2289484059549727</v>
      </c>
      <c r="D15" s="23">
        <v>3.9720381763743036</v>
      </c>
      <c r="E15" s="23">
        <v>3.8287504028378359</v>
      </c>
      <c r="F15" s="23">
        <v>3.7993639990902395</v>
      </c>
      <c r="G15" s="23">
        <v>3.7491710731166434</v>
      </c>
      <c r="H15" s="23">
        <v>3.7047857287134374</v>
      </c>
      <c r="I15" s="23">
        <v>4.0337190973515957</v>
      </c>
      <c r="J15" s="23">
        <v>4.6377642181452394</v>
      </c>
      <c r="K15" s="23">
        <v>5.2150192957001069</v>
      </c>
      <c r="L15" s="23">
        <v>5.6320410418532481</v>
      </c>
      <c r="M15" s="23">
        <v>5.9623857228603256</v>
      </c>
      <c r="N15" s="23">
        <v>6.2273774153207535</v>
      </c>
      <c r="O15" s="23">
        <v>6.3202091949411443</v>
      </c>
      <c r="P15" s="23">
        <v>6.2385985550115768</v>
      </c>
      <c r="Q15" s="23">
        <v>6.0566841465632484</v>
      </c>
      <c r="R15" s="23">
        <v>5.8266356526034366</v>
      </c>
      <c r="S15" s="23">
        <v>5.6433131770832183</v>
      </c>
      <c r="T15" s="23">
        <v>5.5033145601670848</v>
      </c>
      <c r="U15" s="23">
        <v>5.4050319382381726</v>
      </c>
      <c r="V15" s="23">
        <v>5.3429744964860557</v>
      </c>
      <c r="W15" s="23">
        <v>5.3033317371227637</v>
      </c>
      <c r="X15" s="23">
        <v>5.2703401423364529</v>
      </c>
      <c r="Y15" s="23">
        <v>5.2448079056235875</v>
      </c>
      <c r="Z15" s="23">
        <v>5.2308061946705884</v>
      </c>
      <c r="AA15" s="23">
        <v>5.2181249440099799</v>
      </c>
      <c r="AB15" s="23">
        <v>5.2119532719934503</v>
      </c>
    </row>
    <row r="16" spans="1:28" x14ac:dyDescent="0.2">
      <c r="A16" s="17"/>
      <c r="B16" s="7" t="s">
        <v>2</v>
      </c>
      <c r="C16" s="24">
        <v>4.5574010528522679</v>
      </c>
      <c r="D16" s="25">
        <v>4.3555963083948743</v>
      </c>
      <c r="E16" s="25">
        <v>4.2367700684205616</v>
      </c>
      <c r="F16" s="25">
        <v>4.208451288592558</v>
      </c>
      <c r="G16" s="25">
        <v>4.1686946574811286</v>
      </c>
      <c r="H16" s="25">
        <v>4.1264545678905709</v>
      </c>
      <c r="I16" s="25">
        <v>4.4583646310060869</v>
      </c>
      <c r="J16" s="25">
        <v>5.1160010288809143</v>
      </c>
      <c r="K16" s="25">
        <v>5.7626976399095895</v>
      </c>
      <c r="L16" s="25">
        <v>6.2264412890002623</v>
      </c>
      <c r="M16" s="25">
        <v>6.6161720643427131</v>
      </c>
      <c r="N16" s="25">
        <v>6.9103957842524375</v>
      </c>
      <c r="O16" s="25">
        <v>7.0168201200482789</v>
      </c>
      <c r="P16" s="25">
        <v>6.9362428902485691</v>
      </c>
      <c r="Q16" s="25">
        <v>6.7265449011444227</v>
      </c>
      <c r="R16" s="25">
        <v>6.4645741737702771</v>
      </c>
      <c r="S16" s="25">
        <v>6.2544563183436388</v>
      </c>
      <c r="T16" s="25">
        <v>6.1034775624960851</v>
      </c>
      <c r="U16" s="25">
        <v>5.9983765404496978</v>
      </c>
      <c r="V16" s="25">
        <v>5.9259592611024106</v>
      </c>
      <c r="W16" s="25">
        <v>5.8742351946202653</v>
      </c>
      <c r="X16" s="25">
        <v>5.8342217296420875</v>
      </c>
      <c r="Y16" s="25">
        <v>5.8044986432636563</v>
      </c>
      <c r="Z16" s="25">
        <v>5.7829849265839322</v>
      </c>
      <c r="AA16" s="25">
        <v>5.7672954134848009</v>
      </c>
      <c r="AB16" s="25">
        <v>5.7558222363779112</v>
      </c>
    </row>
    <row r="17" spans="1:28" ht="15" customHeight="1" x14ac:dyDescent="0.2">
      <c r="A17" s="18" t="s">
        <v>6</v>
      </c>
      <c r="B17" s="2" t="s">
        <v>0</v>
      </c>
      <c r="C17" s="22">
        <v>3.9720352699089849</v>
      </c>
      <c r="D17" s="26">
        <v>3.71047276813557</v>
      </c>
      <c r="E17" s="26">
        <v>3.570601439343799</v>
      </c>
      <c r="F17" s="26">
        <v>3.5257902962226617</v>
      </c>
      <c r="G17" s="26">
        <v>3.4755622816983442</v>
      </c>
      <c r="H17" s="26">
        <v>3.4273464430100464</v>
      </c>
      <c r="I17" s="26">
        <v>3.7087130251937817</v>
      </c>
      <c r="J17" s="26">
        <v>4.261766980474273</v>
      </c>
      <c r="K17" s="26">
        <v>4.7886725683623403</v>
      </c>
      <c r="L17" s="26">
        <v>5.153019066648441</v>
      </c>
      <c r="M17" s="26">
        <v>5.4508332803726649</v>
      </c>
      <c r="N17" s="26">
        <v>5.6639245175254951</v>
      </c>
      <c r="O17" s="26">
        <v>5.7302596081937063</v>
      </c>
      <c r="P17" s="26">
        <v>5.6635343615747544</v>
      </c>
      <c r="Q17" s="26">
        <v>5.5059968242242379</v>
      </c>
      <c r="R17" s="26">
        <v>5.30310386214361</v>
      </c>
      <c r="S17" s="26">
        <v>5.1323494605856554</v>
      </c>
      <c r="T17" s="26">
        <v>5.0090944355443163</v>
      </c>
      <c r="U17" s="26">
        <v>4.9226320715027585</v>
      </c>
      <c r="V17" s="26">
        <v>4.849621102812689</v>
      </c>
      <c r="W17" s="26">
        <v>4.8071688581585139</v>
      </c>
      <c r="X17" s="26">
        <v>4.7831106758868884</v>
      </c>
      <c r="Y17" s="26">
        <v>4.7667337350188639</v>
      </c>
      <c r="Z17" s="26">
        <v>4.7554957406791152</v>
      </c>
      <c r="AA17" s="26">
        <v>4.7442273200292329</v>
      </c>
      <c r="AB17" s="26">
        <v>4.7360395605655645</v>
      </c>
    </row>
    <row r="18" spans="1:28" x14ac:dyDescent="0.2">
      <c r="A18" s="18"/>
      <c r="B18" s="2" t="s">
        <v>1</v>
      </c>
      <c r="C18" s="22">
        <v>4.2289484059549727</v>
      </c>
      <c r="D18" s="26">
        <v>3.9720381763743036</v>
      </c>
      <c r="E18" s="26">
        <v>3.8287504028378359</v>
      </c>
      <c r="F18" s="26">
        <v>3.7993639990902395</v>
      </c>
      <c r="G18" s="26">
        <v>3.7491710731166434</v>
      </c>
      <c r="H18" s="26">
        <v>3.7047857287134374</v>
      </c>
      <c r="I18" s="26">
        <v>4.0337190973515957</v>
      </c>
      <c r="J18" s="26">
        <v>4.6377642181452394</v>
      </c>
      <c r="K18" s="26">
        <v>5.2150192957001069</v>
      </c>
      <c r="L18" s="26">
        <v>5.6320410418532481</v>
      </c>
      <c r="M18" s="26">
        <v>5.9623857228657062</v>
      </c>
      <c r="N18" s="26">
        <v>6.2272978476293757</v>
      </c>
      <c r="O18" s="26">
        <v>6.3188286917132155</v>
      </c>
      <c r="P18" s="26">
        <v>6.2331276757221685</v>
      </c>
      <c r="Q18" s="26">
        <v>6.0447446890454524</v>
      </c>
      <c r="R18" s="26">
        <v>5.8032468569143676</v>
      </c>
      <c r="S18" s="26">
        <v>5.613485561263019</v>
      </c>
      <c r="T18" s="26">
        <v>5.4692059827734116</v>
      </c>
      <c r="U18" s="26">
        <v>5.3633648245667773</v>
      </c>
      <c r="V18" s="26">
        <v>5.2969579770696837</v>
      </c>
      <c r="W18" s="26">
        <v>5.2536220623496614</v>
      </c>
      <c r="X18" s="26">
        <v>5.2203067410912514</v>
      </c>
      <c r="Y18" s="26">
        <v>5.2033301977049193</v>
      </c>
      <c r="Z18" s="26">
        <v>5.1915855956019534</v>
      </c>
      <c r="AA18" s="26">
        <v>5.182725587860415</v>
      </c>
      <c r="AB18" s="26">
        <v>5.1739817631413008</v>
      </c>
    </row>
    <row r="19" spans="1:28" x14ac:dyDescent="0.2">
      <c r="A19" s="18"/>
      <c r="B19" s="2" t="s">
        <v>2</v>
      </c>
      <c r="C19" s="22">
        <v>4.5574010528522679</v>
      </c>
      <c r="D19" s="26">
        <v>4.3555963083948743</v>
      </c>
      <c r="E19" s="26">
        <v>4.2367700684205616</v>
      </c>
      <c r="F19" s="26">
        <v>4.208451288592558</v>
      </c>
      <c r="G19" s="26">
        <v>4.1686946574811286</v>
      </c>
      <c r="H19" s="26">
        <v>4.1264545678905709</v>
      </c>
      <c r="I19" s="26">
        <v>4.4583646310060869</v>
      </c>
      <c r="J19" s="26">
        <v>5.1160010288809143</v>
      </c>
      <c r="K19" s="26">
        <v>5.7626976399095895</v>
      </c>
      <c r="L19" s="26">
        <v>6.2264412890002623</v>
      </c>
      <c r="M19" s="26">
        <v>6.616172064348512</v>
      </c>
      <c r="N19" s="26">
        <v>6.910390931226825</v>
      </c>
      <c r="O19" s="26">
        <v>7.015750210342854</v>
      </c>
      <c r="P19" s="26">
        <v>6.9310387021362105</v>
      </c>
      <c r="Q19" s="26">
        <v>6.7131924261513385</v>
      </c>
      <c r="R19" s="26">
        <v>6.4403832282451106</v>
      </c>
      <c r="S19" s="26">
        <v>6.2192544479988898</v>
      </c>
      <c r="T19" s="26">
        <v>6.0593587685128192</v>
      </c>
      <c r="U19" s="26">
        <v>5.9482204830008252</v>
      </c>
      <c r="V19" s="26">
        <v>5.8724822757661492</v>
      </c>
      <c r="W19" s="26">
        <v>5.8154312421017424</v>
      </c>
      <c r="X19" s="26">
        <v>5.7747795845167618</v>
      </c>
      <c r="Y19" s="26">
        <v>5.7472921162606374</v>
      </c>
      <c r="Z19" s="26">
        <v>5.7289226164172833</v>
      </c>
      <c r="AA19" s="26">
        <v>5.7169216750117924</v>
      </c>
      <c r="AB19" s="26">
        <v>5.7079428525940665</v>
      </c>
    </row>
    <row r="20" spans="1:28" x14ac:dyDescent="0.2">
      <c r="A20" s="15" t="s">
        <v>7</v>
      </c>
      <c r="B20" s="3" t="s">
        <v>0</v>
      </c>
      <c r="C20" s="20">
        <v>3.9720352699089849</v>
      </c>
      <c r="D20" s="21">
        <v>3.71047276813557</v>
      </c>
      <c r="E20" s="21">
        <v>3.570601439343799</v>
      </c>
      <c r="F20" s="21">
        <v>3.5257902962226617</v>
      </c>
      <c r="G20" s="21">
        <v>3.4755622816983442</v>
      </c>
      <c r="H20" s="21">
        <v>3.4273464430100464</v>
      </c>
      <c r="I20" s="21">
        <v>3.7087130251937817</v>
      </c>
      <c r="J20" s="21">
        <v>4.261766980474273</v>
      </c>
      <c r="K20" s="21">
        <v>4.7886725683623403</v>
      </c>
      <c r="L20" s="21">
        <v>5.153019066648441</v>
      </c>
      <c r="M20" s="21">
        <v>5.4508332829314803</v>
      </c>
      <c r="N20" s="21">
        <v>5.630206197438766</v>
      </c>
      <c r="O20" s="21">
        <v>5.5646619213504938</v>
      </c>
      <c r="P20" s="21">
        <v>5.3281450533260966</v>
      </c>
      <c r="Q20" s="21">
        <v>4.9805670217204332</v>
      </c>
      <c r="R20" s="21">
        <v>4.6206543160530469</v>
      </c>
      <c r="S20" s="21">
        <v>4.368379871674585</v>
      </c>
      <c r="T20" s="21">
        <v>4.1961927821913347</v>
      </c>
      <c r="U20" s="21">
        <v>4.0738327120146254</v>
      </c>
      <c r="V20" s="21">
        <v>3.9763042875668804</v>
      </c>
      <c r="W20" s="21">
        <v>3.9058070646346881</v>
      </c>
      <c r="X20" s="21">
        <v>3.8509419335348691</v>
      </c>
      <c r="Y20" s="21">
        <v>3.813189963885764</v>
      </c>
      <c r="Z20" s="21">
        <v>3.783087966187852</v>
      </c>
      <c r="AA20" s="21">
        <v>3.7574417873279473</v>
      </c>
      <c r="AB20" s="21">
        <v>3.7353520503264162</v>
      </c>
    </row>
    <row r="21" spans="1:28" x14ac:dyDescent="0.2">
      <c r="A21" s="16"/>
      <c r="B21" s="5" t="s">
        <v>1</v>
      </c>
      <c r="C21" s="22">
        <v>4.2289484059549727</v>
      </c>
      <c r="D21" s="23">
        <v>3.9720381763743036</v>
      </c>
      <c r="E21" s="23">
        <v>3.8287504028378359</v>
      </c>
      <c r="F21" s="23">
        <v>3.7993639990902395</v>
      </c>
      <c r="G21" s="23">
        <v>3.7491710731166434</v>
      </c>
      <c r="H21" s="23">
        <v>3.7047857287134374</v>
      </c>
      <c r="I21" s="23">
        <v>4.0337190973515957</v>
      </c>
      <c r="J21" s="23">
        <v>4.6377642181452394</v>
      </c>
      <c r="K21" s="23">
        <v>5.2150192957001069</v>
      </c>
      <c r="L21" s="23">
        <v>5.6320410418532481</v>
      </c>
      <c r="M21" s="23">
        <v>5.9623857252062971</v>
      </c>
      <c r="N21" s="23">
        <v>6.1888159569028831</v>
      </c>
      <c r="O21" s="23">
        <v>6.133599460869652</v>
      </c>
      <c r="P21" s="23">
        <v>5.8693568062361514</v>
      </c>
      <c r="Q21" s="23">
        <v>5.473810257594633</v>
      </c>
      <c r="R21" s="23">
        <v>5.0524371211643855</v>
      </c>
      <c r="S21" s="23">
        <v>4.7539958952207364</v>
      </c>
      <c r="T21" s="23">
        <v>4.5451910551313119</v>
      </c>
      <c r="U21" s="23">
        <v>4.4052580049240877</v>
      </c>
      <c r="V21" s="23">
        <v>4.3008900975545279</v>
      </c>
      <c r="W21" s="23">
        <v>4.234038141701892</v>
      </c>
      <c r="X21" s="23">
        <v>4.1784662728119102</v>
      </c>
      <c r="Y21" s="23">
        <v>4.1360002866816714</v>
      </c>
      <c r="Z21" s="23">
        <v>4.1031554610844401</v>
      </c>
      <c r="AA21" s="23">
        <v>4.0769757726675468</v>
      </c>
      <c r="AB21" s="23">
        <v>4.0541278679310429</v>
      </c>
    </row>
    <row r="22" spans="1:28" x14ac:dyDescent="0.2">
      <c r="A22" s="17"/>
      <c r="B22" s="7" t="s">
        <v>2</v>
      </c>
      <c r="C22" s="24">
        <v>4.5574010528522679</v>
      </c>
      <c r="D22" s="25">
        <v>4.3555963083948743</v>
      </c>
      <c r="E22" s="25">
        <v>4.2367700684205616</v>
      </c>
      <c r="F22" s="25">
        <v>4.208451288592558</v>
      </c>
      <c r="G22" s="25">
        <v>4.1686946574811286</v>
      </c>
      <c r="H22" s="25">
        <v>4.1264545678905709</v>
      </c>
      <c r="I22" s="25">
        <v>4.4583646310060869</v>
      </c>
      <c r="J22" s="25">
        <v>5.1160010288809143</v>
      </c>
      <c r="K22" s="25">
        <v>5.7626976399095895</v>
      </c>
      <c r="L22" s="25">
        <v>6.2264412890002623</v>
      </c>
      <c r="M22" s="25">
        <v>6.6161720697962361</v>
      </c>
      <c r="N22" s="25">
        <v>6.8664836246603302</v>
      </c>
      <c r="O22" s="25">
        <v>6.8131145801595983</v>
      </c>
      <c r="P22" s="25">
        <v>6.5163071447254035</v>
      </c>
      <c r="Q22" s="25">
        <v>6.0670924578205057</v>
      </c>
      <c r="R22" s="25">
        <v>5.5926314566536011</v>
      </c>
      <c r="S22" s="25">
        <v>5.2510828633039779</v>
      </c>
      <c r="T22" s="25">
        <v>5.0031720702117584</v>
      </c>
      <c r="U22" s="25">
        <v>4.8347713053324739</v>
      </c>
      <c r="V22" s="25">
        <v>4.7158264185614112</v>
      </c>
      <c r="W22" s="25">
        <v>4.6304966802433514</v>
      </c>
      <c r="X22" s="25">
        <v>4.568051992537363</v>
      </c>
      <c r="Y22" s="25">
        <v>4.5205511509228025</v>
      </c>
      <c r="Z22" s="25">
        <v>4.4838637140327782</v>
      </c>
      <c r="AA22" s="25">
        <v>4.4529419893365674</v>
      </c>
      <c r="AB22" s="25">
        <v>4.4265446056921967</v>
      </c>
    </row>
    <row r="25" spans="1:28" x14ac:dyDescent="0.2">
      <c r="A25" s="14" t="s">
        <v>13</v>
      </c>
    </row>
    <row r="26" spans="1:28" x14ac:dyDescent="0.2">
      <c r="A26" s="2" t="s">
        <v>17</v>
      </c>
    </row>
    <row r="27" spans="1:28" x14ac:dyDescent="0.2">
      <c r="A27" s="13" t="s">
        <v>10</v>
      </c>
    </row>
    <row r="28" spans="1:28" x14ac:dyDescent="0.2">
      <c r="A28" s="2" t="s">
        <v>12</v>
      </c>
    </row>
  </sheetData>
  <mergeCells count="6"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Prevalence Rates</vt:lpstr>
      <vt:lpstr>Incidence Rates</vt:lpstr>
      <vt:lpstr>Incidence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Arinaminpathy, Nim</cp:lastModifiedBy>
  <dcterms:created xsi:type="dcterms:W3CDTF">2025-07-01T08:43:48Z</dcterms:created>
  <dcterms:modified xsi:type="dcterms:W3CDTF">2025-07-01T21:15:16Z</dcterms:modified>
</cp:coreProperties>
</file>