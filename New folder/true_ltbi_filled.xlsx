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13_ncr:1_{FE7DEE46-E605-455C-BF9C-42A4E3EE220D}" xr6:coauthVersionLast="47" xr6:coauthVersionMax="47" xr10:uidLastSave="{00000000-0000-0000-0000-000000000000}"/>
  <bookViews>
    <workbookView xWindow="-120" yWindow="-120" windowWidth="29040" windowHeight="15840" xr2:uid="{7C890172-0D4B-4724-B326-F1364935DFD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B75" i="1"/>
  <c r="B74" i="1"/>
  <c r="C74" i="1"/>
  <c r="D74" i="1"/>
  <c r="D75" i="1" s="1"/>
  <c r="E74" i="1"/>
  <c r="E75" i="1" s="1"/>
  <c r="F74" i="1"/>
  <c r="C75" i="1"/>
  <c r="F75" i="1"/>
</calcChain>
</file>

<file path=xl/sharedStrings.xml><?xml version="1.0" encoding="utf-8"?>
<sst xmlns="http://schemas.openxmlformats.org/spreadsheetml/2006/main" count="74" uniqueCount="74">
  <si>
    <t>Country of birth</t>
  </si>
  <si>
    <t>Afghanistan</t>
  </si>
  <si>
    <t>Angola</t>
  </si>
  <si>
    <t>Bangladesh</t>
  </si>
  <si>
    <t>Benin</t>
  </si>
  <si>
    <t>Bhutan</t>
  </si>
  <si>
    <t>Botswana</t>
  </si>
  <si>
    <t>Burkina Faso</t>
  </si>
  <si>
    <t>Burundi</t>
  </si>
  <si>
    <t>Cambodia</t>
  </si>
  <si>
    <t>Cameroon</t>
  </si>
  <si>
    <t>Central African Republic</t>
  </si>
  <si>
    <t>Chad</t>
  </si>
  <si>
    <t>Comoros</t>
  </si>
  <si>
    <t>Congo</t>
  </si>
  <si>
    <t>Djibouti</t>
  </si>
  <si>
    <t>Equatorial Guinea</t>
  </si>
  <si>
    <t>Eritrea</t>
  </si>
  <si>
    <t>Eswatini</t>
  </si>
  <si>
    <t>Ethiopia</t>
  </si>
  <si>
    <t>Gabon</t>
  </si>
  <si>
    <t>Ghana</t>
  </si>
  <si>
    <t>Greenland</t>
  </si>
  <si>
    <t>Guinea</t>
  </si>
  <si>
    <t>Guinea-Bissau</t>
  </si>
  <si>
    <t>Haiti</t>
  </si>
  <si>
    <t>India</t>
  </si>
  <si>
    <t>Indonesia</t>
  </si>
  <si>
    <t>Ivory Coast</t>
  </si>
  <si>
    <t>Kenya</t>
  </si>
  <si>
    <t>Kiribati</t>
  </si>
  <si>
    <t>Lesotho</t>
  </si>
  <si>
    <t>Liberia</t>
  </si>
  <si>
    <t>Madagascar</t>
  </si>
  <si>
    <t>Malawi</t>
  </si>
  <si>
    <t>Mali</t>
  </si>
  <si>
    <t>Marshall Islands</t>
  </si>
  <si>
    <t>Mauritania</t>
  </si>
  <si>
    <t>Mauritius</t>
  </si>
  <si>
    <t>Mongolia</t>
  </si>
  <si>
    <t>Mozambique</t>
  </si>
  <si>
    <t>Namibia</t>
  </si>
  <si>
    <t>Nauru</t>
  </si>
  <si>
    <t>Nepal</t>
  </si>
  <si>
    <t>Niger</t>
  </si>
  <si>
    <t>Nigeria</t>
  </si>
  <si>
    <t>North Korea</t>
  </si>
  <si>
    <t>Pakistan</t>
  </si>
  <si>
    <t>Papua New Guinea</t>
  </si>
  <si>
    <t>Peru</t>
  </si>
  <si>
    <t>Philippines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</si>
  <si>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</si>
  <si>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</si>
  <si>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</si>
  <si>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</si>
  <si>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</si>
  <si>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</si>
  <si>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</si>
  <si>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</si>
  <si>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</si>
  <si>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Thailand</t>
  </si>
  <si>
    <t>Togo</t>
  </si>
  <si>
    <t>Uganda</t>
  </si>
  <si>
    <t>Vietnam</t>
  </si>
  <si>
    <t>Zambia</t>
  </si>
  <si>
    <t>Zimbabwe</t>
  </si>
  <si>
    <t>Aggregated</t>
  </si>
  <si>
    <t>2016-24</t>
  </si>
  <si>
    <t>Cape Verde</t>
  </si>
  <si>
    <t>Congo (Democratic Republic)</t>
  </si>
  <si>
    <t>Gambia, The</t>
  </si>
  <si>
    <t>Myanmar (Burma)</t>
  </si>
  <si>
    <t>Sao Tome and Principe</t>
  </si>
  <si>
    <t>East Timor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</si>
</sst>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LTBI prevalence,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Sheet2!$D$3:$H$3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Sheet2!$D$4:$H$4</c:f>
              <c:numCache>
                <c:formatCode>General</c:formatCode>
                <c:ptCount val="5"/>
                <c:pt idx="0">
                  <c:v>31.9</c:v>
                </c:pt>
                <c:pt idx="1">
                  <c:v>29.4</c:v>
                </c:pt>
                <c:pt idx="2">
                  <c:v>28</c:v>
                </c:pt>
                <c:pt idx="3">
                  <c:v>27.4</c:v>
                </c:pt>
                <c:pt idx="4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6-432E-8D85-C11C45F79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725288"/>
        <c:axId val="1267720608"/>
      </c:lineChart>
      <c:catAx>
        <c:axId val="1267725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20608"/>
        <c:crosses val="autoZero"/>
        <c:auto val="1"/>
        <c:lblAlgn val="ctr"/>
        <c:lblOffset val="100"/>
        <c:noMultiLvlLbl val="0"/>
      </c:catAx>
      <c:valAx>
        <c:axId val="126772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25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Low</a:t>
            </a:r>
            <a:r>
              <a:rPr lang="en-GB" baseline="0"/>
              <a:t> burden LTBI prevalence,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Sheet3!$C$3:$O$3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Sheet3!$C$4:$O$4</c:f>
              <c:numCache>
                <c:formatCode>General</c:formatCode>
                <c:ptCount val="13"/>
                <c:pt idx="0">
                  <c:v>20.647030860000001</c:v>
                </c:pt>
                <c:pt idx="1">
                  <c:v>20.322384060000001</c:v>
                </c:pt>
                <c:pt idx="2">
                  <c:v>19.99979205</c:v>
                </c:pt>
                <c:pt idx="3">
                  <c:v>19.680243090000001</c:v>
                </c:pt>
                <c:pt idx="4">
                  <c:v>19.369584799999998</c:v>
                </c:pt>
                <c:pt idx="5">
                  <c:v>19.058654529999998</c:v>
                </c:pt>
                <c:pt idx="6">
                  <c:v>18.737445730000001</c:v>
                </c:pt>
                <c:pt idx="7">
                  <c:v>18.4181676</c:v>
                </c:pt>
                <c:pt idx="8">
                  <c:v>18.11214536</c:v>
                </c:pt>
                <c:pt idx="9">
                  <c:v>17.816918189999999</c:v>
                </c:pt>
                <c:pt idx="10">
                  <c:v>17.543949680000001</c:v>
                </c:pt>
                <c:pt idx="11">
                  <c:v>17.264509440000001</c:v>
                </c:pt>
                <c:pt idx="12">
                  <c:v>16.910577400000001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C0A-BA10-EFA36AB0B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009880"/>
        <c:axId val="755010960"/>
      </c:lineChart>
      <c:catAx>
        <c:axId val="755009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10960"/>
        <c:crosses val="autoZero"/>
        <c:auto val="1"/>
        <c:lblAlgn val="ctr"/>
        <c:lblOffset val="100"/>
        <c:noMultiLvlLbl val="0"/>
      </c:catAx>
      <c:valAx>
        <c:axId val="7550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09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5</xdr:row>
      <xdr:rowOff>47625</xdr:rowOff>
    </xdr:from>
    <xdr:to>
      <xdr:col>21</xdr:col>
      <xdr:colOff>123824</xdr:colOff>
      <xdr:row>24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55D0D-3D02-F905-3AA7-CB080D7F5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90486</xdr:rowOff>
    </xdr:from>
    <xdr:to>
      <xdr:col>24</xdr:col>
      <xdr:colOff>114300</xdr:colOff>
      <xdr:row>32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5FD28-75D6-7416-1D51-D44D22588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2B7D-0ACD-4D52-9973-54A56CF17DE7}">
  <dimension ref="A1:F78"/>
  <sheetViews>
    <sheetView tabSelected="1" topLeftCell="A46" zoomScale="112" zoomScaleNormal="112" workbookViewId="0">
      <selection activeCell="G64" sqref="G64"/>
    </sheetView>
  </sheetViews>
  <sheetFormatPr defaultRowHeight="15" x14ac:dyDescent="0.25"/>
  <cols>
    <col min="1" max="1" width="32" bestFit="1" customWidth="1"/>
    <col min="2" max="2" width="16" bestFit="1" customWidth="1"/>
  </cols>
  <sheetData>
    <row r="1" spans="1:6" x14ac:dyDescent="0.25">
      <c r="A1" t="s">
        <v>0</v>
      </c>
      <c r="B1">
        <v>2019</v>
      </c>
      <c r="C1">
        <v>2020</v>
      </c>
      <c r="D1">
        <v>2021</v>
      </c>
      <c r="E1">
        <v>2022</v>
      </c>
      <c r="F1">
        <v>2023</v>
      </c>
    </row>
    <row r="2" spans="1:6" x14ac:dyDescent="0.25">
      <c r="A2" t="s">
        <v>1</v>
      </c>
      <c r="B2" s="1">
        <v>15.9</v>
      </c>
      <c r="C2" s="1">
        <v>12.9</v>
      </c>
      <c r="D2" s="1">
        <v>16.2</v>
      </c>
      <c r="E2" s="1">
        <v>16.5</v>
      </c>
      <c r="F2" s="1">
        <v>18</v>
      </c>
    </row>
    <row r="3" spans="1:6" x14ac:dyDescent="0.25">
      <c r="A3" t="s">
        <v>2</v>
      </c>
      <c r="B3" s="1">
        <v>34.865794576751263</v>
      </c>
      <c r="C3" s="1">
        <v>33.944336800684177</v>
      </c>
      <c r="D3" s="1">
        <v>32.461944917917201</v>
      </c>
      <c r="E3" s="1">
        <v>31.194814758701849</v>
      </c>
      <c r="F3" s="1">
        <v>30.883163126934232</v>
      </c>
    </row>
    <row r="4" spans="1:6" x14ac:dyDescent="0.25">
      <c r="A4" t="s">
        <v>3</v>
      </c>
      <c r="B4" s="1">
        <v>9</v>
      </c>
      <c r="C4" s="1">
        <v>11.9</v>
      </c>
      <c r="D4" s="1">
        <v>10.1</v>
      </c>
      <c r="E4" s="1">
        <v>10.3</v>
      </c>
      <c r="F4" s="1">
        <v>9.4</v>
      </c>
    </row>
    <row r="5" spans="1:6" x14ac:dyDescent="0.25">
      <c r="A5" t="s">
        <v>4</v>
      </c>
      <c r="B5" s="1">
        <v>25.497090276000002</v>
      </c>
      <c r="C5" s="1">
        <v>24.543972543114965</v>
      </c>
      <c r="D5" s="1">
        <v>23.54385593061658</v>
      </c>
      <c r="E5" s="1">
        <v>22.598196103312212</v>
      </c>
      <c r="F5" s="1">
        <v>33.299999999999997</v>
      </c>
    </row>
    <row r="6" spans="1:6" x14ac:dyDescent="0.25">
      <c r="A6" t="s">
        <v>5</v>
      </c>
      <c r="B6" s="1">
        <v>8.6404745090000006</v>
      </c>
      <c r="C6" s="1">
        <v>8.3389461400000009</v>
      </c>
      <c r="D6" s="1">
        <v>8.1047446400000016</v>
      </c>
      <c r="E6" s="1">
        <v>7.8831994739999995</v>
      </c>
      <c r="F6" s="1">
        <v>7.6875099070000017</v>
      </c>
    </row>
    <row r="7" spans="1:6" x14ac:dyDescent="0.25">
      <c r="A7" t="s">
        <v>6</v>
      </c>
      <c r="B7" s="1">
        <v>20.079353579065188</v>
      </c>
      <c r="C7" s="1">
        <v>19.671413545003269</v>
      </c>
      <c r="D7" s="1">
        <v>19.40189407392743</v>
      </c>
      <c r="E7" s="1">
        <v>0</v>
      </c>
      <c r="F7" s="1">
        <v>34.4</v>
      </c>
    </row>
    <row r="8" spans="1:6" x14ac:dyDescent="0.25">
      <c r="A8" t="s">
        <v>7</v>
      </c>
      <c r="B8" s="1">
        <v>27.330727457000002</v>
      </c>
      <c r="C8" s="1">
        <v>26.439796370465398</v>
      </c>
      <c r="D8" s="1">
        <v>25.466882453914703</v>
      </c>
      <c r="E8" s="1">
        <v>24.509947128405603</v>
      </c>
      <c r="F8" s="1">
        <v>23.563648184000002</v>
      </c>
    </row>
    <row r="9" spans="1:6" x14ac:dyDescent="0.25">
      <c r="A9" t="s">
        <v>8</v>
      </c>
      <c r="B9" s="1">
        <v>32.184652569978809</v>
      </c>
      <c r="C9" s="1">
        <v>31.618620861</v>
      </c>
      <c r="D9" s="1">
        <v>31.163095367222905</v>
      </c>
      <c r="E9" s="1">
        <v>30.767702128700233</v>
      </c>
      <c r="F9" s="1">
        <v>30.288724490141128</v>
      </c>
    </row>
    <row r="10" spans="1:6" x14ac:dyDescent="0.25">
      <c r="A10" t="s">
        <v>68</v>
      </c>
      <c r="B10" s="1">
        <v>20.918284633000003</v>
      </c>
      <c r="C10" s="1">
        <v>20.296049744813143</v>
      </c>
      <c r="D10" s="1">
        <v>19.565352220298866</v>
      </c>
      <c r="E10" s="1">
        <v>18.821990194883846</v>
      </c>
      <c r="F10" s="1">
        <v>18.073079429465718</v>
      </c>
    </row>
    <row r="11" spans="1:6" x14ac:dyDescent="0.25">
      <c r="A11" t="s">
        <v>9</v>
      </c>
      <c r="B11" s="1">
        <v>45.265502033251877</v>
      </c>
      <c r="C11" s="1">
        <v>44.760509876213945</v>
      </c>
      <c r="D11" s="1">
        <v>44.077067506185067</v>
      </c>
      <c r="E11" s="1">
        <v>43.429180250437113</v>
      </c>
      <c r="F11" s="1">
        <v>0</v>
      </c>
    </row>
    <row r="12" spans="1:6" x14ac:dyDescent="0.25">
      <c r="A12" t="s">
        <v>10</v>
      </c>
      <c r="B12" s="1">
        <v>25.845152637633905</v>
      </c>
      <c r="C12" s="1">
        <v>24.764455676556256</v>
      </c>
      <c r="D12" s="1">
        <v>28.6</v>
      </c>
      <c r="E12" s="1">
        <v>21.7</v>
      </c>
      <c r="F12" s="1">
        <v>30</v>
      </c>
    </row>
    <row r="13" spans="1:6" x14ac:dyDescent="0.25">
      <c r="A13" t="s">
        <v>11</v>
      </c>
      <c r="B13" s="1">
        <v>43.494660119418207</v>
      </c>
      <c r="C13" s="1">
        <v>43.000281842917467</v>
      </c>
      <c r="D13" s="1">
        <v>41.560404255000002</v>
      </c>
      <c r="E13" s="1">
        <v>40.136142802000002</v>
      </c>
      <c r="F13" s="1">
        <v>39.959508460643477</v>
      </c>
    </row>
    <row r="14" spans="1:6" x14ac:dyDescent="0.25">
      <c r="A14" t="s">
        <v>12</v>
      </c>
      <c r="B14" s="1">
        <v>28.528440935056434</v>
      </c>
      <c r="C14" s="1">
        <v>27.542449860344792</v>
      </c>
      <c r="D14" s="1">
        <v>26.581533225249952</v>
      </c>
      <c r="E14" s="1">
        <v>25.669567334983398</v>
      </c>
      <c r="F14" s="1">
        <v>35.299999999999997</v>
      </c>
    </row>
    <row r="15" spans="1:6" x14ac:dyDescent="0.25">
      <c r="A15" t="s">
        <v>13</v>
      </c>
      <c r="B15" s="1">
        <v>30.738586826124454</v>
      </c>
      <c r="C15" s="1">
        <v>30.010815602013341</v>
      </c>
      <c r="D15" s="1">
        <v>29.386507217321757</v>
      </c>
      <c r="E15" s="1">
        <v>28.822802249172923</v>
      </c>
      <c r="F15" s="1">
        <v>28.218471017000002</v>
      </c>
    </row>
    <row r="16" spans="1:6" x14ac:dyDescent="0.25">
      <c r="A16" t="s">
        <v>14</v>
      </c>
      <c r="B16" s="1">
        <v>50</v>
      </c>
      <c r="C16" s="1">
        <v>33.553419740618708</v>
      </c>
      <c r="D16" s="1">
        <v>32.095905297000002</v>
      </c>
      <c r="E16" s="1">
        <v>30.842325727972053</v>
      </c>
      <c r="F16" s="1">
        <v>31.6</v>
      </c>
    </row>
    <row r="17" spans="1:6" x14ac:dyDescent="0.25">
      <c r="A17" t="s">
        <v>69</v>
      </c>
      <c r="B17" s="1">
        <v>35.998578431392502</v>
      </c>
      <c r="C17" s="1">
        <v>35.131713779624434</v>
      </c>
      <c r="D17" s="1">
        <v>33.690969764704228</v>
      </c>
      <c r="E17" s="1">
        <v>32.482569873935873</v>
      </c>
      <c r="F17" s="1">
        <v>32.169348162871195</v>
      </c>
    </row>
    <row r="18" spans="1:6" x14ac:dyDescent="0.25">
      <c r="A18" t="s">
        <v>15</v>
      </c>
      <c r="B18" s="1">
        <v>28.510963379284096</v>
      </c>
      <c r="C18" s="1">
        <v>27.351455496096847</v>
      </c>
      <c r="D18" s="1">
        <v>26.202008744392895</v>
      </c>
      <c r="E18" s="1">
        <v>25.234720675566063</v>
      </c>
      <c r="F18" s="1">
        <v>24.474389522999999</v>
      </c>
    </row>
    <row r="19" spans="1:6" x14ac:dyDescent="0.25">
      <c r="A19" t="s">
        <v>16</v>
      </c>
      <c r="B19" s="1">
        <v>28.206473163680858</v>
      </c>
      <c r="C19" s="1">
        <v>27.559343663231871</v>
      </c>
      <c r="D19" s="1">
        <v>26.326427217449606</v>
      </c>
      <c r="E19" s="1">
        <v>25.325348308999999</v>
      </c>
      <c r="F19" s="1">
        <v>25.23045423663747</v>
      </c>
    </row>
    <row r="20" spans="1:6" x14ac:dyDescent="0.25">
      <c r="A20" t="s">
        <v>17</v>
      </c>
      <c r="B20" s="1">
        <v>34.6</v>
      </c>
      <c r="C20" s="1">
        <v>40.5</v>
      </c>
      <c r="D20" s="1">
        <v>30.1</v>
      </c>
      <c r="E20" s="1">
        <v>32.6</v>
      </c>
      <c r="F20" s="1">
        <v>31.3</v>
      </c>
    </row>
    <row r="21" spans="1:6" x14ac:dyDescent="0.25">
      <c r="A21" t="s">
        <v>18</v>
      </c>
      <c r="B21" s="1">
        <v>31.736915773583032</v>
      </c>
      <c r="C21" s="1">
        <v>31.049900514927014</v>
      </c>
      <c r="D21" s="1">
        <v>30.528528226787802</v>
      </c>
      <c r="E21" s="1">
        <v>30.055103776411769</v>
      </c>
      <c r="F21" s="1">
        <v>29.277940936199361</v>
      </c>
    </row>
    <row r="22" spans="1:6" x14ac:dyDescent="0.25">
      <c r="A22" t="s">
        <v>19</v>
      </c>
      <c r="B22" s="1">
        <v>46</v>
      </c>
      <c r="C22" s="1">
        <v>40.4</v>
      </c>
      <c r="D22" s="1">
        <v>41.1</v>
      </c>
      <c r="E22" s="1">
        <v>36.6</v>
      </c>
      <c r="F22" s="1">
        <v>37.6</v>
      </c>
    </row>
    <row r="23" spans="1:6" x14ac:dyDescent="0.25">
      <c r="A23" t="s">
        <v>20</v>
      </c>
      <c r="B23" s="1">
        <v>31.603221403996567</v>
      </c>
      <c r="C23" s="1">
        <v>30.808267916000005</v>
      </c>
      <c r="D23" s="1">
        <v>29.413920064243236</v>
      </c>
      <c r="E23" s="1">
        <v>28.230707979287956</v>
      </c>
      <c r="F23" s="1">
        <v>27.889282053505887</v>
      </c>
    </row>
    <row r="24" spans="1:6" x14ac:dyDescent="0.25">
      <c r="A24" t="s">
        <v>70</v>
      </c>
      <c r="B24" s="1">
        <v>21.6</v>
      </c>
      <c r="C24" s="1">
        <v>22.9</v>
      </c>
      <c r="D24" s="1">
        <v>21.9</v>
      </c>
      <c r="E24" s="1">
        <v>26.5</v>
      </c>
      <c r="F24" s="1">
        <v>23.6</v>
      </c>
    </row>
    <row r="25" spans="1:6" x14ac:dyDescent="0.25">
      <c r="A25" t="s">
        <v>21</v>
      </c>
      <c r="B25" s="1">
        <v>11.5</v>
      </c>
      <c r="C25" s="1">
        <v>12.2</v>
      </c>
      <c r="D25" s="1">
        <v>11</v>
      </c>
      <c r="E25" s="1">
        <v>12</v>
      </c>
      <c r="F25" s="1">
        <v>14.9</v>
      </c>
    </row>
    <row r="26" spans="1:6" x14ac:dyDescent="0.25">
      <c r="A26" t="s">
        <v>22</v>
      </c>
      <c r="B26" s="1">
        <v>26.110512299476373</v>
      </c>
      <c r="C26" s="1">
        <v>25.964184022399433</v>
      </c>
      <c r="D26" s="1">
        <v>25.913133763837369</v>
      </c>
      <c r="E26" s="1">
        <v>25.860843826374207</v>
      </c>
      <c r="F26" s="1">
        <v>26.118694971729866</v>
      </c>
    </row>
    <row r="27" spans="1:6" x14ac:dyDescent="0.25">
      <c r="A27" t="s">
        <v>23</v>
      </c>
      <c r="B27" s="1">
        <v>42.9</v>
      </c>
      <c r="C27" s="1">
        <v>71.400000000000006</v>
      </c>
      <c r="D27" s="1">
        <v>26.630890395581051</v>
      </c>
      <c r="E27" s="1">
        <v>25.659245835615543</v>
      </c>
      <c r="F27" s="1">
        <v>24.770626813327436</v>
      </c>
    </row>
    <row r="28" spans="1:6" x14ac:dyDescent="0.25">
      <c r="A28" t="s">
        <v>24</v>
      </c>
      <c r="B28" s="1">
        <v>30.737032634474915</v>
      </c>
      <c r="C28" s="1">
        <v>35.700000000000003</v>
      </c>
      <c r="D28" s="1">
        <v>0</v>
      </c>
      <c r="E28" s="1">
        <v>27.8</v>
      </c>
      <c r="F28" s="1">
        <v>26.569294517360493</v>
      </c>
    </row>
    <row r="29" spans="1:6" x14ac:dyDescent="0.25">
      <c r="A29" t="s">
        <v>25</v>
      </c>
      <c r="B29" s="1">
        <v>41.551002720719637</v>
      </c>
      <c r="C29" s="1">
        <v>40.913203576892137</v>
      </c>
      <c r="D29" s="1">
        <v>40.298494845168932</v>
      </c>
      <c r="E29" s="1">
        <v>39.689829830642481</v>
      </c>
      <c r="F29" s="1">
        <v>39.013120834667696</v>
      </c>
    </row>
    <row r="30" spans="1:6" x14ac:dyDescent="0.25">
      <c r="A30" t="s">
        <v>26</v>
      </c>
      <c r="B30" s="1">
        <v>15.9</v>
      </c>
      <c r="C30" s="1">
        <v>15.6</v>
      </c>
      <c r="D30" s="1">
        <v>13.8</v>
      </c>
      <c r="E30" s="1">
        <v>13.4</v>
      </c>
      <c r="F30" s="1">
        <v>15.9</v>
      </c>
    </row>
    <row r="31" spans="1:6" x14ac:dyDescent="0.25">
      <c r="A31" t="s">
        <v>27</v>
      </c>
      <c r="B31" s="1">
        <v>12.5</v>
      </c>
      <c r="C31" s="1">
        <v>23.1</v>
      </c>
      <c r="D31" s="1">
        <v>18.5</v>
      </c>
      <c r="E31" s="1">
        <v>12.3</v>
      </c>
      <c r="F31" s="1">
        <v>15.2</v>
      </c>
    </row>
    <row r="32" spans="1:6" x14ac:dyDescent="0.25">
      <c r="A32" t="s">
        <v>28</v>
      </c>
      <c r="B32" s="1">
        <v>26.105475622222599</v>
      </c>
      <c r="C32" s="1">
        <v>24.985786587480099</v>
      </c>
      <c r="D32" s="1">
        <v>23.937975498900855</v>
      </c>
      <c r="E32" s="1">
        <v>22.974554349000002</v>
      </c>
      <c r="F32" s="1">
        <v>22.043295679177728</v>
      </c>
    </row>
    <row r="33" spans="1:6" x14ac:dyDescent="0.25">
      <c r="A33" t="s">
        <v>29</v>
      </c>
      <c r="B33" s="1">
        <v>35.4</v>
      </c>
      <c r="C33" s="1">
        <v>36.6</v>
      </c>
      <c r="D33" s="1">
        <v>28.3</v>
      </c>
      <c r="E33" s="1">
        <v>22.9</v>
      </c>
      <c r="F33" s="1">
        <v>41.6</v>
      </c>
    </row>
    <row r="34" spans="1:6" x14ac:dyDescent="0.25">
      <c r="A34" t="s">
        <v>30</v>
      </c>
      <c r="B34" s="1">
        <v>57.198148400589183</v>
      </c>
      <c r="C34" s="1">
        <v>56.923108713977207</v>
      </c>
      <c r="D34" s="1">
        <v>56.559175694006889</v>
      </c>
      <c r="E34" s="1">
        <v>56.284590985810581</v>
      </c>
      <c r="F34" s="1">
        <v>56.251065225445302</v>
      </c>
    </row>
    <row r="35" spans="1:6" x14ac:dyDescent="0.25">
      <c r="A35" t="s">
        <v>31</v>
      </c>
      <c r="B35" s="1">
        <v>35.920348617511941</v>
      </c>
      <c r="C35" s="1">
        <v>35.194463736634255</v>
      </c>
      <c r="D35" s="1">
        <v>34.624313167908788</v>
      </c>
      <c r="E35" s="1">
        <v>34.095250081456463</v>
      </c>
      <c r="F35" s="1">
        <v>33.302038866160871</v>
      </c>
    </row>
    <row r="36" spans="1:6" x14ac:dyDescent="0.25">
      <c r="A36" t="s">
        <v>32</v>
      </c>
      <c r="B36" s="1">
        <v>25.75569415521646</v>
      </c>
      <c r="C36" s="1">
        <v>24.865699601895265</v>
      </c>
      <c r="D36" s="1">
        <v>24.041934604157959</v>
      </c>
      <c r="E36" s="1">
        <v>23.266389973755729</v>
      </c>
      <c r="F36" s="1">
        <v>22.429116271671926</v>
      </c>
    </row>
    <row r="37" spans="1:6" x14ac:dyDescent="0.25">
      <c r="A37" t="s">
        <v>33</v>
      </c>
      <c r="B37" s="1">
        <v>30.396626345000001</v>
      </c>
      <c r="C37" s="1">
        <v>29.777993392824442</v>
      </c>
      <c r="D37" s="1">
        <v>29.100646633848019</v>
      </c>
      <c r="E37" s="1">
        <v>28.477987488726708</v>
      </c>
      <c r="F37" s="1">
        <v>27.954542229154402</v>
      </c>
    </row>
    <row r="38" spans="1:6" x14ac:dyDescent="0.25">
      <c r="A38" t="s">
        <v>34</v>
      </c>
      <c r="B38" s="1">
        <v>17.525245448831406</v>
      </c>
      <c r="C38" s="1">
        <v>17.022045866359445</v>
      </c>
      <c r="D38" s="1">
        <v>16.495853971127328</v>
      </c>
      <c r="E38" s="1">
        <v>16.045075304613452</v>
      </c>
      <c r="F38" s="1">
        <v>15.680214879529469</v>
      </c>
    </row>
    <row r="39" spans="1:6" x14ac:dyDescent="0.25">
      <c r="A39" t="s">
        <v>35</v>
      </c>
      <c r="B39" s="1">
        <v>26.40339200841176</v>
      </c>
      <c r="C39" s="1">
        <v>0</v>
      </c>
      <c r="D39" s="1">
        <v>24.479128242970901</v>
      </c>
      <c r="E39" s="1">
        <v>23.570954838961121</v>
      </c>
      <c r="F39" s="1">
        <v>22.752311649717019</v>
      </c>
    </row>
    <row r="40" spans="1:6" x14ac:dyDescent="0.25">
      <c r="A40" t="s">
        <v>36</v>
      </c>
      <c r="B40" s="1">
        <v>53.502653688417091</v>
      </c>
      <c r="C40" s="1">
        <v>53.3817955124713</v>
      </c>
      <c r="D40" s="1">
        <v>53.115822069118003</v>
      </c>
      <c r="E40" s="1">
        <v>52.849075755883668</v>
      </c>
      <c r="F40" s="1">
        <v>52.692504974517711</v>
      </c>
    </row>
    <row r="41" spans="1:6" x14ac:dyDescent="0.25">
      <c r="A41" t="s">
        <v>37</v>
      </c>
      <c r="B41" s="1">
        <v>22.165575784865869</v>
      </c>
      <c r="C41" s="1">
        <v>21.220067274000002</v>
      </c>
      <c r="D41" s="1">
        <v>20.362786226649934</v>
      </c>
      <c r="E41" s="1">
        <v>19.570907811664711</v>
      </c>
      <c r="F41" s="1">
        <v>18.765185665073322</v>
      </c>
    </row>
    <row r="42" spans="1:6" x14ac:dyDescent="0.25">
      <c r="A42" t="s">
        <v>38</v>
      </c>
      <c r="B42" s="1">
        <v>43.88859855818243</v>
      </c>
      <c r="C42" s="1">
        <v>0</v>
      </c>
      <c r="D42" s="1">
        <v>43.468378848416926</v>
      </c>
      <c r="E42" s="1">
        <v>0</v>
      </c>
      <c r="F42" s="1">
        <v>0</v>
      </c>
    </row>
    <row r="43" spans="1:6" x14ac:dyDescent="0.25">
      <c r="A43" t="s">
        <v>39</v>
      </c>
      <c r="B43" s="1">
        <v>32.28802002352591</v>
      </c>
      <c r="C43" s="1">
        <v>31.451528796858192</v>
      </c>
      <c r="D43" s="1">
        <v>30.803435752692732</v>
      </c>
      <c r="E43" s="1">
        <v>30.247348774982765</v>
      </c>
      <c r="F43" s="1">
        <v>29.43763314258797</v>
      </c>
    </row>
    <row r="44" spans="1:6" x14ac:dyDescent="0.25">
      <c r="A44" t="s">
        <v>40</v>
      </c>
      <c r="B44" s="1">
        <v>31.204393438203915</v>
      </c>
      <c r="C44" s="1">
        <v>30.422376816582762</v>
      </c>
      <c r="D44" s="1">
        <v>29.742308811557102</v>
      </c>
      <c r="E44" s="1">
        <v>29.106927654206579</v>
      </c>
      <c r="F44" s="1">
        <v>28.538986057452533</v>
      </c>
    </row>
    <row r="45" spans="1:6" x14ac:dyDescent="0.25">
      <c r="A45" t="s">
        <v>71</v>
      </c>
      <c r="B45" s="1">
        <v>51.557102044000011</v>
      </c>
      <c r="C45" s="1">
        <v>51.066749883652264</v>
      </c>
      <c r="D45" s="1">
        <v>50.631995886783137</v>
      </c>
      <c r="E45" s="1">
        <v>50.217872539146768</v>
      </c>
      <c r="F45" s="1">
        <v>24.7</v>
      </c>
    </row>
    <row r="46" spans="1:6" x14ac:dyDescent="0.25">
      <c r="A46" t="s">
        <v>41</v>
      </c>
      <c r="B46" s="1">
        <v>71.400000000000006</v>
      </c>
      <c r="C46" s="1">
        <v>26.989603823932139</v>
      </c>
      <c r="D46" s="1">
        <v>35</v>
      </c>
      <c r="E46" s="1">
        <v>26.3</v>
      </c>
      <c r="F46" s="1">
        <v>20.7</v>
      </c>
    </row>
    <row r="47" spans="1:6" x14ac:dyDescent="0.25">
      <c r="A47" t="s">
        <v>42</v>
      </c>
      <c r="B47" s="1">
        <v>50.336743576459504</v>
      </c>
      <c r="C47" s="1">
        <v>49.816482520000008</v>
      </c>
      <c r="D47" s="1">
        <v>49.294026770702636</v>
      </c>
      <c r="E47" s="1">
        <v>48.91109786134178</v>
      </c>
      <c r="F47" s="1">
        <v>48.528652076295494</v>
      </c>
    </row>
    <row r="48" spans="1:6" x14ac:dyDescent="0.25">
      <c r="A48" t="s">
        <v>43</v>
      </c>
      <c r="B48" s="1">
        <v>28</v>
      </c>
      <c r="C48" s="1">
        <v>24.8</v>
      </c>
      <c r="D48" s="1">
        <v>14.8</v>
      </c>
      <c r="E48" s="1">
        <v>20</v>
      </c>
      <c r="F48" s="1">
        <v>21.3</v>
      </c>
    </row>
    <row r="49" spans="1:6" x14ac:dyDescent="0.25">
      <c r="A49" t="s">
        <v>44</v>
      </c>
      <c r="B49" s="1">
        <v>27.108231858458911</v>
      </c>
      <c r="C49" s="1">
        <v>26.250712450293594</v>
      </c>
      <c r="D49" s="1">
        <v>25.382012385582598</v>
      </c>
      <c r="E49" s="1">
        <v>24.559048668145778</v>
      </c>
      <c r="F49" s="1">
        <v>0</v>
      </c>
    </row>
    <row r="50" spans="1:6" x14ac:dyDescent="0.25">
      <c r="A50" t="s">
        <v>45</v>
      </c>
      <c r="B50" s="1">
        <v>26.4</v>
      </c>
      <c r="C50" s="1">
        <v>31.2</v>
      </c>
      <c r="D50" s="1">
        <v>22.6</v>
      </c>
      <c r="E50" s="1">
        <v>22.6</v>
      </c>
      <c r="F50" s="1">
        <v>22.3</v>
      </c>
    </row>
    <row r="51" spans="1:6" x14ac:dyDescent="0.25">
      <c r="A51" t="s">
        <v>46</v>
      </c>
      <c r="B51" s="1">
        <v>50.601999004654871</v>
      </c>
      <c r="C51" s="1">
        <v>49.819586940000001</v>
      </c>
      <c r="D51" s="1">
        <v>49.067296731075899</v>
      </c>
      <c r="E51" s="1">
        <v>48.361706920000003</v>
      </c>
      <c r="F51" s="1">
        <v>47.766421325921279</v>
      </c>
    </row>
    <row r="52" spans="1:6" x14ac:dyDescent="0.25">
      <c r="A52" t="s">
        <v>47</v>
      </c>
      <c r="B52" s="1">
        <v>14.2</v>
      </c>
      <c r="C52" s="1">
        <v>13.8</v>
      </c>
      <c r="D52" s="1">
        <v>10.6</v>
      </c>
      <c r="E52" s="1">
        <v>11.9</v>
      </c>
      <c r="F52" s="1">
        <v>11.7</v>
      </c>
    </row>
    <row r="53" spans="1:6" x14ac:dyDescent="0.25">
      <c r="A53" t="s">
        <v>48</v>
      </c>
      <c r="B53" s="1">
        <v>52.53392381446092</v>
      </c>
      <c r="C53" s="1">
        <v>52.153060004288662</v>
      </c>
      <c r="D53" s="1">
        <v>51.647201638061155</v>
      </c>
      <c r="E53" s="1">
        <v>51.191340228058884</v>
      </c>
      <c r="F53" s="1">
        <v>50.976260149837302</v>
      </c>
    </row>
    <row r="54" spans="1:6" x14ac:dyDescent="0.25">
      <c r="A54" t="s">
        <v>49</v>
      </c>
      <c r="B54" s="1">
        <v>16.367253360062826</v>
      </c>
      <c r="C54" s="1">
        <v>15.971264048653074</v>
      </c>
      <c r="D54" s="1">
        <v>15.674543660508863</v>
      </c>
      <c r="E54" s="1">
        <v>15.373083331003818</v>
      </c>
      <c r="F54" s="1">
        <v>14.914598793693679</v>
      </c>
    </row>
    <row r="55" spans="1:6" x14ac:dyDescent="0.25">
      <c r="A55" t="s">
        <v>50</v>
      </c>
      <c r="B55" s="1">
        <v>24</v>
      </c>
      <c r="C55" s="1">
        <v>20.2</v>
      </c>
      <c r="D55" s="1">
        <v>27</v>
      </c>
      <c r="E55" s="1">
        <v>16.2</v>
      </c>
      <c r="F55" s="1">
        <v>20.2</v>
      </c>
    </row>
    <row r="56" spans="1:6" x14ac:dyDescent="0.25">
      <c r="A56" t="s">
        <v>51</v>
      </c>
      <c r="B56" s="1">
        <v>29.769615187004732</v>
      </c>
      <c r="C56" s="1">
        <v>29.097315870948854</v>
      </c>
      <c r="D56" s="1">
        <v>28.341445509019145</v>
      </c>
      <c r="E56" s="1">
        <v>27.692899319401146</v>
      </c>
      <c r="F56" s="1">
        <v>27.144342604390609</v>
      </c>
    </row>
    <row r="57" spans="1:6" x14ac:dyDescent="0.25">
      <c r="A57" t="s">
        <v>72</v>
      </c>
      <c r="B57" s="1">
        <v>22.696874260780934</v>
      </c>
      <c r="C57" s="1">
        <v>21.841361846424316</v>
      </c>
      <c r="D57" s="1">
        <v>21.06128811</v>
      </c>
      <c r="E57" s="1">
        <v>20.353252446055258</v>
      </c>
      <c r="F57" s="1">
        <v>19.626024692019691</v>
      </c>
    </row>
    <row r="58" spans="1:6" x14ac:dyDescent="0.25">
      <c r="A58" t="s">
        <v>52</v>
      </c>
      <c r="B58" s="1">
        <v>25.829679859106118</v>
      </c>
      <c r="C58" s="1">
        <v>24.813432388368351</v>
      </c>
      <c r="D58" s="1">
        <v>23.768860498646795</v>
      </c>
      <c r="E58" s="1">
        <v>22.801055640225201</v>
      </c>
      <c r="F58" s="1">
        <v>21.885180289897907</v>
      </c>
    </row>
    <row r="59" spans="1:6" x14ac:dyDescent="0.25">
      <c r="A59" t="s">
        <v>53</v>
      </c>
      <c r="B59" s="1">
        <v>45.010773112504374</v>
      </c>
      <c r="C59" s="1">
        <v>44.826155910544514</v>
      </c>
      <c r="D59" s="1">
        <v>44.645212981958906</v>
      </c>
      <c r="E59" s="1">
        <v>44.402096885056288</v>
      </c>
      <c r="F59" s="1">
        <v>43.864774803249986</v>
      </c>
    </row>
    <row r="60" spans="1:6" x14ac:dyDescent="0.25">
      <c r="A60" t="s">
        <v>54</v>
      </c>
      <c r="B60" s="1">
        <v>75</v>
      </c>
      <c r="C60" s="1">
        <v>42.9</v>
      </c>
      <c r="D60" s="1">
        <v>47.1</v>
      </c>
      <c r="E60" s="1">
        <v>29.4</v>
      </c>
      <c r="F60" s="1">
        <v>30.6</v>
      </c>
    </row>
    <row r="61" spans="1:6" x14ac:dyDescent="0.25">
      <c r="A61" t="s">
        <v>55</v>
      </c>
      <c r="B61" s="1">
        <v>29.9</v>
      </c>
      <c r="C61" s="1">
        <v>29.4</v>
      </c>
      <c r="D61" s="1">
        <v>28.1</v>
      </c>
      <c r="E61" s="1">
        <v>28.6</v>
      </c>
      <c r="F61" s="1">
        <v>30.1</v>
      </c>
    </row>
    <row r="62" spans="1:6" x14ac:dyDescent="0.25">
      <c r="A62" t="s">
        <v>56</v>
      </c>
      <c r="B62" s="1">
        <v>9.9</v>
      </c>
      <c r="C62" s="1">
        <v>7.9</v>
      </c>
      <c r="D62" s="1">
        <v>6</v>
      </c>
      <c r="E62" s="1">
        <v>9.8000000000000007</v>
      </c>
      <c r="F62" s="1">
        <v>9.3000000000000007</v>
      </c>
    </row>
    <row r="63" spans="1:6" x14ac:dyDescent="0.25">
      <c r="A63" t="s">
        <v>57</v>
      </c>
      <c r="B63" s="1">
        <v>29.901567619176092</v>
      </c>
      <c r="C63" s="1">
        <v>29.310862362943251</v>
      </c>
      <c r="D63" s="1">
        <v>0</v>
      </c>
      <c r="E63" s="1">
        <v>28.348395751215214</v>
      </c>
      <c r="F63" s="1">
        <v>28.004212742883986</v>
      </c>
    </row>
    <row r="64" spans="1:6" x14ac:dyDescent="0.25">
      <c r="A64" t="s">
        <v>58</v>
      </c>
      <c r="B64" s="1">
        <v>24.6</v>
      </c>
      <c r="C64" s="1">
        <v>26.2</v>
      </c>
      <c r="D64" s="1">
        <v>26.3</v>
      </c>
      <c r="E64" s="1">
        <v>36.6</v>
      </c>
      <c r="F64" s="1">
        <v>24.7</v>
      </c>
    </row>
    <row r="65" spans="1:6" x14ac:dyDescent="0.25">
      <c r="A65" t="s">
        <v>59</v>
      </c>
      <c r="B65" s="1">
        <v>18.652208154569234</v>
      </c>
      <c r="C65" s="1">
        <v>0</v>
      </c>
      <c r="D65" s="1">
        <v>17.370741342395952</v>
      </c>
      <c r="E65" s="1">
        <v>16.800609239981309</v>
      </c>
      <c r="F65" s="1">
        <v>16.275978942000002</v>
      </c>
    </row>
    <row r="66" spans="1:6" x14ac:dyDescent="0.25">
      <c r="A66" t="s">
        <v>60</v>
      </c>
      <c r="B66" s="1">
        <v>24.5</v>
      </c>
      <c r="C66" s="1">
        <v>39.063352823155832</v>
      </c>
      <c r="D66" s="1">
        <v>38.852864061365622</v>
      </c>
      <c r="E66" s="1">
        <v>38.588383521000004</v>
      </c>
      <c r="F66" s="1">
        <v>38.159647132868379</v>
      </c>
    </row>
    <row r="67" spans="1:6" x14ac:dyDescent="0.25">
      <c r="A67" t="s">
        <v>73</v>
      </c>
      <c r="B67" s="1">
        <v>48.434903277213984</v>
      </c>
      <c r="C67" s="1">
        <v>0</v>
      </c>
      <c r="D67" s="1">
        <v>48.433871948182691</v>
      </c>
      <c r="E67" s="1">
        <v>48.266525914370121</v>
      </c>
      <c r="F67" s="1">
        <v>52.4</v>
      </c>
    </row>
    <row r="68" spans="1:6" x14ac:dyDescent="0.25">
      <c r="A68" t="s">
        <v>61</v>
      </c>
      <c r="B68" s="1">
        <v>26.496574764599909</v>
      </c>
      <c r="C68" s="1">
        <v>25.489673825016268</v>
      </c>
      <c r="D68" s="1">
        <v>24.514482759942862</v>
      </c>
      <c r="E68" s="1">
        <v>23.597624639169801</v>
      </c>
      <c r="F68" s="1">
        <v>22.758239694664784</v>
      </c>
    </row>
    <row r="69" spans="1:6" x14ac:dyDescent="0.25">
      <c r="A69" t="s">
        <v>62</v>
      </c>
      <c r="B69" s="1">
        <v>31.7</v>
      </c>
      <c r="C69" s="1">
        <v>33.299999999999997</v>
      </c>
      <c r="D69" s="1">
        <v>29.6</v>
      </c>
      <c r="E69" s="1">
        <v>23.5</v>
      </c>
      <c r="F69" s="1">
        <v>28</v>
      </c>
    </row>
    <row r="70" spans="1:6" x14ac:dyDescent="0.25">
      <c r="A70" t="s">
        <v>63</v>
      </c>
      <c r="B70" s="1">
        <v>60.18964377650353</v>
      </c>
      <c r="C70" s="1">
        <v>59.975851312381039</v>
      </c>
      <c r="D70" s="1">
        <v>59.722284761166016</v>
      </c>
      <c r="E70" s="1">
        <v>59.427651894592962</v>
      </c>
      <c r="F70" s="1">
        <v>18.100000000000001</v>
      </c>
    </row>
    <row r="71" spans="1:6" x14ac:dyDescent="0.25">
      <c r="A71" t="s">
        <v>64</v>
      </c>
      <c r="B71" s="1">
        <v>25.619637314973303</v>
      </c>
      <c r="C71" s="1">
        <v>24.884477788000002</v>
      </c>
      <c r="D71" s="1">
        <v>0</v>
      </c>
      <c r="E71" s="1">
        <v>23.5645472353924</v>
      </c>
      <c r="F71" s="1">
        <v>30.8</v>
      </c>
    </row>
    <row r="72" spans="1:6" x14ac:dyDescent="0.25">
      <c r="A72" t="s">
        <v>65</v>
      </c>
      <c r="B72" s="1">
        <v>26.4</v>
      </c>
      <c r="C72" s="1">
        <v>47.5</v>
      </c>
      <c r="D72" s="1">
        <v>16.3</v>
      </c>
      <c r="E72" s="1">
        <v>22.6</v>
      </c>
      <c r="F72" s="1">
        <v>20.7</v>
      </c>
    </row>
    <row r="74" spans="1:6" x14ac:dyDescent="0.25">
      <c r="B74" s="1">
        <f>SUM(B2:B72)</f>
        <v>2262.6043230343957</v>
      </c>
      <c r="C74" s="1">
        <f t="shared" ref="C74:F74" si="0">SUM(C2:C72)</f>
        <v>2084.2779476706019</v>
      </c>
      <c r="D74" s="1">
        <f t="shared" si="0"/>
        <v>1990.5534486935667</v>
      </c>
      <c r="E74" s="1">
        <f t="shared" si="0"/>
        <v>1946.2604933126217</v>
      </c>
      <c r="F74" s="1">
        <f t="shared" si="0"/>
        <v>1881.6384845526952</v>
      </c>
    </row>
    <row r="75" spans="1:6" x14ac:dyDescent="0.25">
      <c r="A75" s="2" t="s">
        <v>66</v>
      </c>
      <c r="B75" s="1">
        <f>B74/71</f>
        <v>31.867666521611209</v>
      </c>
      <c r="C75" s="1">
        <f t="shared" ref="C75:F75" si="1">C74/71</f>
        <v>29.356027431980309</v>
      </c>
      <c r="D75" s="1">
        <f t="shared" si="1"/>
        <v>28.035964066106573</v>
      </c>
      <c r="E75" s="1">
        <f t="shared" si="1"/>
        <v>27.412119624121434</v>
      </c>
      <c r="F75" s="1">
        <f t="shared" si="1"/>
        <v>26.50195048665768</v>
      </c>
    </row>
    <row r="78" spans="1:6" x14ac:dyDescent="0.25">
      <c r="D7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6E26-91F6-43D7-98F2-93627EB8B37A}">
  <dimension ref="C3:H8"/>
  <sheetViews>
    <sheetView workbookViewId="0">
      <selection activeCell="C9" sqref="C9"/>
    </sheetView>
  </sheetViews>
  <sheetFormatPr defaultRowHeight="15" x14ac:dyDescent="0.25"/>
  <sheetData>
    <row r="3" spans="3:8" x14ac:dyDescent="0.25">
      <c r="C3" t="s">
        <v>67</v>
      </c>
      <c r="D3">
        <v>2019</v>
      </c>
      <c r="E3">
        <v>2020</v>
      </c>
      <c r="F3">
        <v>2021</v>
      </c>
      <c r="G3">
        <v>2022</v>
      </c>
      <c r="H3">
        <v>2023</v>
      </c>
    </row>
    <row r="4" spans="3:8" x14ac:dyDescent="0.25">
      <c r="C4">
        <v>21.5</v>
      </c>
      <c r="D4">
        <v>31.9</v>
      </c>
      <c r="E4">
        <v>29.4</v>
      </c>
      <c r="F4">
        <v>28</v>
      </c>
      <c r="G4">
        <v>27.4</v>
      </c>
      <c r="H4">
        <v>26.5</v>
      </c>
    </row>
    <row r="7" spans="3:8" x14ac:dyDescent="0.25">
      <c r="C7">
        <f>SUM(D4:H4)</f>
        <v>143.19999999999999</v>
      </c>
    </row>
    <row r="8" spans="3:8" x14ac:dyDescent="0.25">
      <c r="C8">
        <f>C7/5</f>
        <v>28.639999999999997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D54A-BEB6-4DC2-8888-3CB7D45E0EFD}">
  <dimension ref="C3:O4"/>
  <sheetViews>
    <sheetView workbookViewId="0">
      <selection activeCell="T8" sqref="T8"/>
    </sheetView>
  </sheetViews>
  <sheetFormatPr defaultRowHeight="15" x14ac:dyDescent="0.25"/>
  <sheetData>
    <row r="3" spans="3:15" x14ac:dyDescent="0.25"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  <c r="I3">
        <v>2017</v>
      </c>
      <c r="J3">
        <v>2018</v>
      </c>
      <c r="K3">
        <v>2019</v>
      </c>
      <c r="L3">
        <v>2020</v>
      </c>
      <c r="M3">
        <v>2021</v>
      </c>
      <c r="N3">
        <v>2022</v>
      </c>
      <c r="O3">
        <v>2023</v>
      </c>
    </row>
    <row r="4" spans="3:15" x14ac:dyDescent="0.25">
      <c r="C4">
        <v>20.647030860000001</v>
      </c>
      <c r="D4">
        <v>20.322384060000001</v>
      </c>
      <c r="E4">
        <v>19.99979205</v>
      </c>
      <c r="F4">
        <v>19.680243090000001</v>
      </c>
      <c r="G4">
        <v>19.369584799999998</v>
      </c>
      <c r="H4">
        <v>19.058654529999998</v>
      </c>
      <c r="I4">
        <v>18.737445730000001</v>
      </c>
      <c r="J4">
        <v>18.4181676</v>
      </c>
      <c r="K4">
        <v>18.11214536</v>
      </c>
      <c r="L4">
        <v>17.816918189999999</v>
      </c>
      <c r="M4">
        <v>17.543949680000001</v>
      </c>
      <c r="N4">
        <v>17.264509440000001</v>
      </c>
      <c r="O4">
        <v>16.910577400000001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Isa</dc:creator>
  <cp:lastModifiedBy>Ahmad, Isa</cp:lastModifiedBy>
  <dcterms:created xsi:type="dcterms:W3CDTF">2026-02-16T15:25:21Z</dcterms:created>
  <dcterms:modified xsi:type="dcterms:W3CDTF">2026-03-01T14:49:13Z</dcterms:modified>
</cp:coreProperties>
</file>