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\Documents\tuberculosis\England - submitted 19Jun25\"/>
    </mc:Choice>
  </mc:AlternateContent>
  <xr:revisionPtr revIDLastSave="0" documentId="13_ncr:1_{17CF3A72-4EB7-492D-AEF6-1F0E7E3D36BC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revalence Rates" sheetId="2" r:id="rId1"/>
    <sheet name="Incidence Rates" sheetId="1" r:id="rId2"/>
    <sheet name="Incidence Numb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  <c r="E4" i="3" s="1"/>
  <c r="F4" i="3" s="1"/>
  <c r="G4" i="3" s="1"/>
  <c r="H4" i="3" s="1"/>
  <c r="I4" i="3" s="1"/>
  <c r="J4" i="3" s="1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D4" i="2"/>
  <c r="E4" i="2" s="1"/>
  <c r="F4" i="2" s="1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D4" i="1"/>
  <c r="E4" i="1" s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</calcChain>
</file>

<file path=xl/sharedStrings.xml><?xml version="1.0" encoding="utf-8"?>
<sst xmlns="http://schemas.openxmlformats.org/spreadsheetml/2006/main" count="90" uniqueCount="18">
  <si>
    <t>Lo</t>
  </si>
  <si>
    <t>Mid</t>
  </si>
  <si>
    <t>Hi</t>
  </si>
  <si>
    <t>Improve treatment outcomes</t>
  </si>
  <si>
    <t>Enhance TPT coverage in recent migrants</t>
  </si>
  <si>
    <t>Accelerated case-finding, foreign-born</t>
  </si>
  <si>
    <t>Accelerated case-finding, UK-born</t>
  </si>
  <si>
    <t>Pre-entry screening for TBI</t>
  </si>
  <si>
    <t>Baseline</t>
  </si>
  <si>
    <t>All numbers show rates per 100,000 population</t>
  </si>
  <si>
    <t>Lo', 'Mid' and 'Hi' denote respectively, 2.5th, 50th and 97.5th percentiles</t>
  </si>
  <si>
    <t>Intervention scenario</t>
  </si>
  <si>
    <t>Intervention scenarios are as described in the Powerpoint file shared earlier</t>
  </si>
  <si>
    <t>Notes:</t>
  </si>
  <si>
    <t>Simulated prevalence</t>
  </si>
  <si>
    <t>Simulated incidence</t>
  </si>
  <si>
    <t>Simulated incidence (in thousands)</t>
  </si>
  <si>
    <t>All numbers show numbers in thousands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</si>
</sst>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b/>
      <u/>
      <sz val="13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0" fontId="1" fillId="0" borderId="0" xfId="0" applyFont="1"/>
    <xf numFmtId="164" fontId="0" fillId="0" borderId="1" xfId="0" applyNumberFormat="1" applyBorder="1"/>
    <xf numFmtId="0" fontId="1" fillId="0" borderId="3" xfId="0" applyFont="1" applyBorder="1"/>
    <xf numFmtId="164" fontId="0" fillId="0" borderId="3" xfId="0" applyNumberFormat="1" applyBorder="1"/>
    <xf numFmtId="0" fontId="1" fillId="0" borderId="0" xfId="0" quotePrefix="1" applyFont="1"/>
    <xf numFmtId="0" fontId="2" fillId="0" borderId="0" xfId="0" applyFont="1"/>
    <xf numFmtId="0" fontId="3" fillId="0" borderId="0" xfId="0" applyFont="1"/>
    <xf numFmtId="0" fontId="1" fillId="0" borderId="5" xfId="0" applyFont="1" applyBorder="1"/>
    <xf numFmtId="0" fontId="1" fillId="0" borderId="6" xfId="0" applyFont="1" applyBorder="1"/>
    <xf numFmtId="0" fontId="0" fillId="0" borderId="1" xfId="0" applyBorder="1"/>
    <xf numFmtId="0" fontId="0" fillId="0" borderId="3" xfId="0" applyBorder="1"/>
    <xf numFmtId="0" fontId="2" fillId="0" borderId="3" xfId="0" applyFont="1" applyBorder="1"/>
    <xf numFmtId="0" fontId="0" fillId="0" borderId="4" xfId="0" applyBorder="1"/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9239-DE8A-A74B-B620-AF2D9C5E718F}">
  <dimension ref="A2:AB28"/>
  <sheetViews>
    <sheetView zoomScale="94" zoomScaleNormal="94" workbookViewId="0">
      <selection activeCell="M31" sqref="M31"/>
    </sheetView>
  </sheetViews>
  <sheetFormatPr defaultColWidth="8.85546875" defaultRowHeight="15" x14ac:dyDescent="0.25"/>
  <cols>
    <col min="1" max="1" width="17.85546875" customWidth="1"/>
    <col min="3" max="28" width="11.7109375" customWidth="1"/>
  </cols>
  <sheetData>
    <row r="2" spans="1:28" ht="17.25" x14ac:dyDescent="0.3">
      <c r="A2" s="8" t="s">
        <v>14</v>
      </c>
    </row>
    <row r="4" spans="1:28" s="12" customFormat="1" x14ac:dyDescent="0.25">
      <c r="A4" s="13" t="s">
        <v>11</v>
      </c>
      <c r="C4" s="14">
        <v>2015</v>
      </c>
      <c r="D4" s="12">
        <f t="shared" ref="D4:AB4" si="0">C4+1</f>
        <v>2016</v>
      </c>
      <c r="E4" s="12">
        <f t="shared" si="0"/>
        <v>2017</v>
      </c>
      <c r="F4" s="12">
        <f t="shared" si="0"/>
        <v>2018</v>
      </c>
      <c r="G4" s="12">
        <f t="shared" si="0"/>
        <v>2019</v>
      </c>
      <c r="H4" s="12">
        <f t="shared" si="0"/>
        <v>2020</v>
      </c>
      <c r="I4" s="12">
        <f t="shared" si="0"/>
        <v>2021</v>
      </c>
      <c r="J4" s="12">
        <f t="shared" si="0"/>
        <v>2022</v>
      </c>
      <c r="K4" s="12">
        <f t="shared" si="0"/>
        <v>2023</v>
      </c>
      <c r="L4" s="12">
        <f t="shared" si="0"/>
        <v>2024</v>
      </c>
      <c r="M4" s="12">
        <f t="shared" si="0"/>
        <v>2025</v>
      </c>
      <c r="N4" s="12">
        <f t="shared" si="0"/>
        <v>2026</v>
      </c>
      <c r="O4" s="12">
        <f t="shared" si="0"/>
        <v>2027</v>
      </c>
      <c r="P4" s="12">
        <f t="shared" si="0"/>
        <v>2028</v>
      </c>
      <c r="Q4" s="12">
        <f t="shared" si="0"/>
        <v>2029</v>
      </c>
      <c r="R4" s="12">
        <f t="shared" si="0"/>
        <v>2030</v>
      </c>
      <c r="S4" s="12">
        <f t="shared" si="0"/>
        <v>2031</v>
      </c>
      <c r="T4" s="12">
        <f t="shared" si="0"/>
        <v>2032</v>
      </c>
      <c r="U4" s="12">
        <f t="shared" si="0"/>
        <v>2033</v>
      </c>
      <c r="V4" s="12">
        <f t="shared" si="0"/>
        <v>2034</v>
      </c>
      <c r="W4" s="12">
        <f t="shared" si="0"/>
        <v>2035</v>
      </c>
      <c r="X4" s="12">
        <f t="shared" si="0"/>
        <v>2036</v>
      </c>
      <c r="Y4" s="12">
        <f t="shared" si="0"/>
        <v>2037</v>
      </c>
      <c r="Z4" s="12">
        <f t="shared" si="0"/>
        <v>2038</v>
      </c>
      <c r="AA4" s="12">
        <f t="shared" si="0"/>
        <v>2039</v>
      </c>
      <c r="AB4" s="12">
        <f t="shared" si="0"/>
        <v>2040</v>
      </c>
    </row>
    <row r="5" spans="1:28" s="11" customFormat="1" x14ac:dyDescent="0.25">
      <c r="A5" s="15" t="s">
        <v>8</v>
      </c>
      <c r="B5" s="9" t="s">
        <v>0</v>
      </c>
      <c r="C5" s="1">
        <v>12.994749683708891</v>
      </c>
      <c r="D5" s="1">
        <v>12.094903927047087</v>
      </c>
      <c r="E5" s="1">
        <v>11.255350092950552</v>
      </c>
      <c r="F5" s="1">
        <v>10.613875275880162</v>
      </c>
      <c r="G5" s="1">
        <v>10.196066641082092</v>
      </c>
      <c r="H5" s="1">
        <v>9.7610687705775572</v>
      </c>
      <c r="I5" s="1">
        <v>9.6825288039014499</v>
      </c>
      <c r="J5" s="1">
        <v>10.661243770849008</v>
      </c>
      <c r="K5" s="1">
        <v>12.336914178358366</v>
      </c>
      <c r="L5" s="1">
        <v>13.123795182466131</v>
      </c>
      <c r="M5" s="1">
        <v>12.868134335177349</v>
      </c>
      <c r="N5" s="1">
        <v>12.64763362240766</v>
      </c>
      <c r="O5" s="1">
        <v>12.501314164330729</v>
      </c>
      <c r="P5" s="1">
        <v>12.393255200564338</v>
      </c>
      <c r="Q5" s="1">
        <v>12.309368211754958</v>
      </c>
      <c r="R5" s="1">
        <v>12.242292365146913</v>
      </c>
      <c r="S5" s="1">
        <v>12.18753434845056</v>
      </c>
      <c r="T5" s="1">
        <v>12.142026851881194</v>
      </c>
      <c r="U5" s="1">
        <v>12.10357787132817</v>
      </c>
      <c r="V5" s="1">
        <v>12.070587255339461</v>
      </c>
      <c r="W5" s="1">
        <v>12.041868518053953</v>
      </c>
      <c r="X5" s="1">
        <v>12.016527707289921</v>
      </c>
      <c r="Y5" s="1">
        <v>11.993887498441213</v>
      </c>
      <c r="Z5" s="1">
        <v>11.973427520412267</v>
      </c>
      <c r="AA5" s="1">
        <v>11.954745097938263</v>
      </c>
      <c r="AB5" s="1">
        <v>11.937526948663436</v>
      </c>
    </row>
    <row r="6" spans="1:28" s="11" customFormat="1" x14ac:dyDescent="0.25">
      <c r="A6" s="16"/>
      <c r="B6" s="9" t="s">
        <v>1</v>
      </c>
      <c r="C6" s="1">
        <v>18.111746283970501</v>
      </c>
      <c r="D6" s="1">
        <v>17.120768242004743</v>
      </c>
      <c r="E6" s="1">
        <v>16.160615077265401</v>
      </c>
      <c r="F6" s="1">
        <v>15.319337969546709</v>
      </c>
      <c r="G6" s="1">
        <v>14.673245464922708</v>
      </c>
      <c r="H6" s="1">
        <v>14.038140827589798</v>
      </c>
      <c r="I6" s="1">
        <v>13.784960888665987</v>
      </c>
      <c r="J6" s="1">
        <v>14.8329475814368</v>
      </c>
      <c r="K6" s="1">
        <v>16.895712308139718</v>
      </c>
      <c r="L6" s="1">
        <v>18.043406864715269</v>
      </c>
      <c r="M6" s="1">
        <v>17.905881253267466</v>
      </c>
      <c r="N6" s="1">
        <v>17.686973386667795</v>
      </c>
      <c r="O6" s="1">
        <v>17.529134578028835</v>
      </c>
      <c r="P6" s="1">
        <v>17.41262480400313</v>
      </c>
      <c r="Q6" s="1">
        <v>17.323425373627519</v>
      </c>
      <c r="R6" s="1">
        <v>17.253619159871981</v>
      </c>
      <c r="S6" s="1">
        <v>17.19828039057008</v>
      </c>
      <c r="T6" s="1">
        <v>17.154011346537828</v>
      </c>
      <c r="U6" s="1">
        <v>17.118331681744166</v>
      </c>
      <c r="V6" s="1">
        <v>17.089370398990042</v>
      </c>
      <c r="W6" s="1">
        <v>17.065693377433398</v>
      </c>
      <c r="X6" s="1">
        <v>17.046187023933271</v>
      </c>
      <c r="Y6" s="1">
        <v>17.029984847831717</v>
      </c>
      <c r="Z6" s="1">
        <v>17.013278378344129</v>
      </c>
      <c r="AA6" s="1">
        <v>16.989951235911782</v>
      </c>
      <c r="AB6" s="1">
        <v>16.968956752822752</v>
      </c>
    </row>
    <row r="7" spans="1:28" s="12" customFormat="1" x14ac:dyDescent="0.25">
      <c r="A7" s="17"/>
      <c r="B7" s="10" t="s">
        <v>2</v>
      </c>
      <c r="C7" s="5">
        <v>29.614008914613731</v>
      </c>
      <c r="D7" s="5">
        <v>28.19435169863646</v>
      </c>
      <c r="E7" s="5">
        <v>26.774459174649863</v>
      </c>
      <c r="F7" s="5">
        <v>25.527458605839421</v>
      </c>
      <c r="G7" s="5">
        <v>24.543287374692525</v>
      </c>
      <c r="H7" s="5">
        <v>23.603569247331738</v>
      </c>
      <c r="I7" s="5">
        <v>23.026940165234926</v>
      </c>
      <c r="J7" s="5">
        <v>23.712131056616833</v>
      </c>
      <c r="K7" s="5">
        <v>25.519692422468797</v>
      </c>
      <c r="L7" s="5">
        <v>26.78594658630152</v>
      </c>
      <c r="M7" s="5">
        <v>26.832586188735782</v>
      </c>
      <c r="N7" s="5">
        <v>26.732452663818954</v>
      </c>
      <c r="O7" s="5">
        <v>26.64158730895884</v>
      </c>
      <c r="P7" s="5">
        <v>26.562453231408735</v>
      </c>
      <c r="Q7" s="5">
        <v>26.49129072485233</v>
      </c>
      <c r="R7" s="5">
        <v>26.426340897155534</v>
      </c>
      <c r="S7" s="5">
        <v>26.366936176440628</v>
      </c>
      <c r="T7" s="5">
        <v>26.312739711377368</v>
      </c>
      <c r="U7" s="5">
        <v>26.263471812749831</v>
      </c>
      <c r="V7" s="5">
        <v>26.218822465042084</v>
      </c>
      <c r="W7" s="5">
        <v>26.178444894323395</v>
      </c>
      <c r="X7" s="5">
        <v>26.141967114349264</v>
      </c>
      <c r="Y7" s="5">
        <v>26.109011481059415</v>
      </c>
      <c r="Z7" s="5">
        <v>26.079209043301237</v>
      </c>
      <c r="AA7" s="5">
        <v>26.052208848068357</v>
      </c>
      <c r="AB7" s="5">
        <v>26.027685423630238</v>
      </c>
    </row>
    <row r="8" spans="1:28" s="11" customFormat="1" x14ac:dyDescent="0.25">
      <c r="A8" s="15" t="s">
        <v>3</v>
      </c>
      <c r="B8" s="9" t="s">
        <v>0</v>
      </c>
      <c r="C8" s="3">
        <v>12.994749683708891</v>
      </c>
      <c r="D8" s="3">
        <v>12.094903927047087</v>
      </c>
      <c r="E8" s="3">
        <v>11.255350092950552</v>
      </c>
      <c r="F8" s="3">
        <v>10.613875275880162</v>
      </c>
      <c r="G8" s="3">
        <v>10.196066641082092</v>
      </c>
      <c r="H8" s="3">
        <v>9.7610687705775572</v>
      </c>
      <c r="I8" s="3">
        <v>9.6825288039014499</v>
      </c>
      <c r="J8" s="3">
        <v>10.661243770849008</v>
      </c>
      <c r="K8" s="3">
        <v>12.336914178358366</v>
      </c>
      <c r="L8" s="3">
        <v>13.123795182466131</v>
      </c>
      <c r="M8" s="3">
        <v>12.868134335177349</v>
      </c>
      <c r="N8" s="3">
        <v>12.64763362240766</v>
      </c>
      <c r="O8" s="3">
        <v>12.501314396737683</v>
      </c>
      <c r="P8" s="3">
        <v>12.384829766638985</v>
      </c>
      <c r="Q8" s="3">
        <v>12.260827823054571</v>
      </c>
      <c r="R8" s="3">
        <v>12.116159543574646</v>
      </c>
      <c r="S8" s="3">
        <v>11.949788051794034</v>
      </c>
      <c r="T8" s="3">
        <v>11.76634030874702</v>
      </c>
      <c r="U8" s="3">
        <v>11.572793700121888</v>
      </c>
      <c r="V8" s="3">
        <v>11.375751848277975</v>
      </c>
      <c r="W8" s="3">
        <v>11.181806525229536</v>
      </c>
      <c r="X8" s="3">
        <v>11.000380771407571</v>
      </c>
      <c r="Y8" s="3">
        <v>10.844532926797244</v>
      </c>
      <c r="Z8" s="3">
        <v>10.714354442674265</v>
      </c>
      <c r="AA8" s="3">
        <v>10.606271269830456</v>
      </c>
      <c r="AB8" s="3">
        <v>10.516094559840377</v>
      </c>
    </row>
    <row r="9" spans="1:28" x14ac:dyDescent="0.25">
      <c r="A9" s="16"/>
      <c r="B9" s="9" t="s">
        <v>1</v>
      </c>
      <c r="C9" s="1">
        <v>18.111746283970501</v>
      </c>
      <c r="D9" s="1">
        <v>17.120768242004743</v>
      </c>
      <c r="E9" s="1">
        <v>16.160615077265401</v>
      </c>
      <c r="F9" s="1">
        <v>15.319337969546709</v>
      </c>
      <c r="G9" s="1">
        <v>14.673245464922708</v>
      </c>
      <c r="H9" s="1">
        <v>14.038140827589798</v>
      </c>
      <c r="I9" s="1">
        <v>13.784960888665987</v>
      </c>
      <c r="J9" s="1">
        <v>14.8329475814368</v>
      </c>
      <c r="K9" s="1">
        <v>16.895712308139718</v>
      </c>
      <c r="L9" s="1">
        <v>18.043406864715269</v>
      </c>
      <c r="M9" s="1">
        <v>17.905881253267466</v>
      </c>
      <c r="N9" s="1">
        <v>17.686973386667795</v>
      </c>
      <c r="O9" s="1">
        <v>17.529134370566361</v>
      </c>
      <c r="P9" s="1">
        <v>17.404645356376406</v>
      </c>
      <c r="Q9" s="1">
        <v>17.275090623134442</v>
      </c>
      <c r="R9" s="1">
        <v>17.124078921085424</v>
      </c>
      <c r="S9" s="1">
        <v>16.948182997361616</v>
      </c>
      <c r="T9" s="1">
        <v>16.712046407059585</v>
      </c>
      <c r="U9" s="1">
        <v>16.434556750896213</v>
      </c>
      <c r="V9" s="1">
        <v>16.147422064693789</v>
      </c>
      <c r="W9" s="1">
        <v>15.86013819781064</v>
      </c>
      <c r="X9" s="1">
        <v>15.586275839699258</v>
      </c>
      <c r="Y9" s="1">
        <v>15.345280260716043</v>
      </c>
      <c r="Z9" s="1">
        <v>15.139766917095663</v>
      </c>
      <c r="AA9" s="1">
        <v>14.966362506149165</v>
      </c>
      <c r="AB9" s="1">
        <v>14.820142091088504</v>
      </c>
    </row>
    <row r="10" spans="1:28" s="12" customFormat="1" x14ac:dyDescent="0.25">
      <c r="A10" s="17"/>
      <c r="B10" s="10" t="s">
        <v>2</v>
      </c>
      <c r="C10" s="5">
        <v>29.614008914613731</v>
      </c>
      <c r="D10" s="5">
        <v>28.19435169863646</v>
      </c>
      <c r="E10" s="5">
        <v>26.774459174649863</v>
      </c>
      <c r="F10" s="5">
        <v>25.527458605839421</v>
      </c>
      <c r="G10" s="5">
        <v>24.543287374692525</v>
      </c>
      <c r="H10" s="5">
        <v>23.603569247331738</v>
      </c>
      <c r="I10" s="5">
        <v>23.026940165234926</v>
      </c>
      <c r="J10" s="5">
        <v>23.712131056616833</v>
      </c>
      <c r="K10" s="5">
        <v>25.519692422468797</v>
      </c>
      <c r="L10" s="5">
        <v>26.78594658630152</v>
      </c>
      <c r="M10" s="5">
        <v>26.832586188735782</v>
      </c>
      <c r="N10" s="5">
        <v>26.732452663818954</v>
      </c>
      <c r="O10" s="5">
        <v>26.641586789913468</v>
      </c>
      <c r="P10" s="5">
        <v>26.553051550006877</v>
      </c>
      <c r="Q10" s="5">
        <v>26.432632692483953</v>
      </c>
      <c r="R10" s="5">
        <v>26.265272534719465</v>
      </c>
      <c r="S10" s="5">
        <v>26.049313409188233</v>
      </c>
      <c r="T10" s="5">
        <v>25.790239580997092</v>
      </c>
      <c r="U10" s="5">
        <v>25.497327071697757</v>
      </c>
      <c r="V10" s="5">
        <v>25.181188485317342</v>
      </c>
      <c r="W10" s="5">
        <v>24.852053294925906</v>
      </c>
      <c r="X10" s="5">
        <v>24.524246247961326</v>
      </c>
      <c r="Y10" s="5">
        <v>24.21907752159332</v>
      </c>
      <c r="Z10" s="5">
        <v>23.943216239110988</v>
      </c>
      <c r="AA10" s="5">
        <v>23.696801646939321</v>
      </c>
      <c r="AB10" s="5">
        <v>23.477627889492201</v>
      </c>
    </row>
    <row r="11" spans="1:28" x14ac:dyDescent="0.25">
      <c r="A11" s="18" t="s">
        <v>4</v>
      </c>
      <c r="B11" s="9" t="s">
        <v>0</v>
      </c>
      <c r="C11" s="1">
        <v>12.994749683708891</v>
      </c>
      <c r="D11" s="1">
        <v>12.094903927047087</v>
      </c>
      <c r="E11" s="1">
        <v>11.255350092950552</v>
      </c>
      <c r="F11" s="1">
        <v>10.613875275880162</v>
      </c>
      <c r="G11" s="1">
        <v>10.196066641082092</v>
      </c>
      <c r="H11" s="1">
        <v>9.7610687705775572</v>
      </c>
      <c r="I11" s="1">
        <v>9.6825288039014499</v>
      </c>
      <c r="J11" s="1">
        <v>10.661243770849008</v>
      </c>
      <c r="K11" s="1">
        <v>12.336914178358366</v>
      </c>
      <c r="L11" s="1">
        <v>13.123795182466131</v>
      </c>
      <c r="M11" s="1">
        <v>12.868134335177349</v>
      </c>
      <c r="N11" s="1">
        <v>12.64763362240766</v>
      </c>
      <c r="O11" s="1">
        <v>12.501314396680167</v>
      </c>
      <c r="P11" s="1">
        <v>12.384635077895439</v>
      </c>
      <c r="Q11" s="1">
        <v>12.260004681862446</v>
      </c>
      <c r="R11" s="1">
        <v>12.114555313959281</v>
      </c>
      <c r="S11" s="1">
        <v>11.947456535313858</v>
      </c>
      <c r="T11" s="1">
        <v>11.763431443365057</v>
      </c>
      <c r="U11" s="1">
        <v>11.5694919916139</v>
      </c>
      <c r="V11" s="1">
        <v>11.372242493866743</v>
      </c>
      <c r="W11" s="1">
        <v>11.178267202334943</v>
      </c>
      <c r="X11" s="1">
        <v>10.99715828160326</v>
      </c>
      <c r="Y11" s="1">
        <v>10.842194090686062</v>
      </c>
      <c r="Z11" s="1">
        <v>10.713162698736424</v>
      </c>
      <c r="AA11" s="1">
        <v>10.606263562225383</v>
      </c>
      <c r="AB11" s="1">
        <v>10.517204312621324</v>
      </c>
    </row>
    <row r="12" spans="1:28" x14ac:dyDescent="0.25">
      <c r="A12" s="18"/>
      <c r="B12" s="9" t="s">
        <v>1</v>
      </c>
      <c r="C12" s="1">
        <v>18.111746283970501</v>
      </c>
      <c r="D12" s="1">
        <v>17.120768242004743</v>
      </c>
      <c r="E12" s="1">
        <v>16.160615077265401</v>
      </c>
      <c r="F12" s="1">
        <v>15.319337969546709</v>
      </c>
      <c r="G12" s="1">
        <v>14.673245464922708</v>
      </c>
      <c r="H12" s="1">
        <v>14.038140827589798</v>
      </c>
      <c r="I12" s="1">
        <v>13.784960888665987</v>
      </c>
      <c r="J12" s="1">
        <v>14.8329475814368</v>
      </c>
      <c r="K12" s="1">
        <v>16.895712308139718</v>
      </c>
      <c r="L12" s="1">
        <v>18.043406864715269</v>
      </c>
      <c r="M12" s="1">
        <v>17.905881253267466</v>
      </c>
      <c r="N12" s="1">
        <v>17.686973386667795</v>
      </c>
      <c r="O12" s="1">
        <v>17.529134370551677</v>
      </c>
      <c r="P12" s="1">
        <v>17.404468660981287</v>
      </c>
      <c r="Q12" s="1">
        <v>17.274309757372809</v>
      </c>
      <c r="R12" s="1">
        <v>17.122499631177167</v>
      </c>
      <c r="S12" s="1">
        <v>16.945812897714383</v>
      </c>
      <c r="T12" s="1">
        <v>16.708833452286822</v>
      </c>
      <c r="U12" s="1">
        <v>16.430823085013408</v>
      </c>
      <c r="V12" s="1">
        <v>16.143365824776186</v>
      </c>
      <c r="W12" s="1">
        <v>15.855953886761577</v>
      </c>
      <c r="X12" s="1">
        <v>15.582330035989663</v>
      </c>
      <c r="Y12" s="1">
        <v>15.342185230888283</v>
      </c>
      <c r="Z12" s="1">
        <v>15.137857557072653</v>
      </c>
      <c r="AA12" s="1">
        <v>14.965734701168104</v>
      </c>
      <c r="AB12" s="1">
        <v>14.820765460158954</v>
      </c>
    </row>
    <row r="13" spans="1:28" s="12" customFormat="1" x14ac:dyDescent="0.25">
      <c r="A13" s="18"/>
      <c r="B13" s="10" t="s">
        <v>2</v>
      </c>
      <c r="C13" s="5">
        <v>29.614008914613731</v>
      </c>
      <c r="D13" s="5">
        <v>28.19435169863646</v>
      </c>
      <c r="E13" s="5">
        <v>26.774459174649863</v>
      </c>
      <c r="F13" s="5">
        <v>25.527458605839421</v>
      </c>
      <c r="G13" s="5">
        <v>24.543287374692525</v>
      </c>
      <c r="H13" s="5">
        <v>23.603569247331738</v>
      </c>
      <c r="I13" s="5">
        <v>23.026940165234926</v>
      </c>
      <c r="J13" s="5">
        <v>23.712131056616833</v>
      </c>
      <c r="K13" s="5">
        <v>25.519692422468797</v>
      </c>
      <c r="L13" s="5">
        <v>26.78594658630152</v>
      </c>
      <c r="M13" s="5">
        <v>26.832586188735782</v>
      </c>
      <c r="N13" s="5">
        <v>26.732452663818954</v>
      </c>
      <c r="O13" s="5">
        <v>26.641586789839096</v>
      </c>
      <c r="P13" s="5">
        <v>26.55289559072769</v>
      </c>
      <c r="Q13" s="5">
        <v>26.431914946568149</v>
      </c>
      <c r="R13" s="5">
        <v>26.263762607490886</v>
      </c>
      <c r="S13" s="5">
        <v>26.046961684444341</v>
      </c>
      <c r="T13" s="5">
        <v>25.787111065101648</v>
      </c>
      <c r="U13" s="5">
        <v>25.493552874641274</v>
      </c>
      <c r="V13" s="5">
        <v>25.176934698917261</v>
      </c>
      <c r="W13" s="5">
        <v>24.847501416400434</v>
      </c>
      <c r="X13" s="5">
        <v>24.519740039861247</v>
      </c>
      <c r="Y13" s="5">
        <v>24.215217164147941</v>
      </c>
      <c r="Z13" s="5">
        <v>23.940407697039266</v>
      </c>
      <c r="AA13" s="5">
        <v>23.695246057824466</v>
      </c>
      <c r="AB13" s="5">
        <v>23.477396783277236</v>
      </c>
    </row>
    <row r="14" spans="1:28" s="11" customFormat="1" x14ac:dyDescent="0.25">
      <c r="A14" s="15" t="s">
        <v>5</v>
      </c>
      <c r="B14" s="9" t="s">
        <v>0</v>
      </c>
      <c r="C14" s="3">
        <v>12.994749683708891</v>
      </c>
      <c r="D14" s="3">
        <v>12.094903927047087</v>
      </c>
      <c r="E14" s="3">
        <v>11.255350092950552</v>
      </c>
      <c r="F14" s="3">
        <v>10.613875275880162</v>
      </c>
      <c r="G14" s="3">
        <v>10.196066641082092</v>
      </c>
      <c r="H14" s="3">
        <v>9.7610687705775572</v>
      </c>
      <c r="I14" s="3">
        <v>9.6825288039014499</v>
      </c>
      <c r="J14" s="3">
        <v>10.661243770849008</v>
      </c>
      <c r="K14" s="3">
        <v>12.336914178358366</v>
      </c>
      <c r="L14" s="3">
        <v>13.123795182466131</v>
      </c>
      <c r="M14" s="3">
        <v>12.868134335177349</v>
      </c>
      <c r="N14" s="3">
        <v>12.64763362240766</v>
      </c>
      <c r="O14" s="3">
        <v>12.501313123021285</v>
      </c>
      <c r="P14" s="3">
        <v>12.243920190199329</v>
      </c>
      <c r="Q14" s="3">
        <v>11.804134210296287</v>
      </c>
      <c r="R14" s="3">
        <v>11.266516383913645</v>
      </c>
      <c r="S14" s="3">
        <v>10.684438472649138</v>
      </c>
      <c r="T14" s="3">
        <v>10.094319225362069</v>
      </c>
      <c r="U14" s="3">
        <v>9.5206976771154519</v>
      </c>
      <c r="V14" s="3">
        <v>8.9788936158127584</v>
      </c>
      <c r="W14" s="3">
        <v>8.4771101238528139</v>
      </c>
      <c r="X14" s="3">
        <v>8.1045974729915873</v>
      </c>
      <c r="Y14" s="3">
        <v>7.8688251545802776</v>
      </c>
      <c r="Z14" s="3">
        <v>7.7071674588759915</v>
      </c>
      <c r="AA14" s="3">
        <v>7.5907804252499478</v>
      </c>
      <c r="AB14" s="3">
        <v>7.5036329430842379</v>
      </c>
    </row>
    <row r="15" spans="1:28" x14ac:dyDescent="0.25">
      <c r="A15" s="16"/>
      <c r="B15" s="9" t="s">
        <v>1</v>
      </c>
      <c r="C15" s="1">
        <v>18.111746283970501</v>
      </c>
      <c r="D15" s="1">
        <v>17.120768242004743</v>
      </c>
      <c r="E15" s="1">
        <v>16.160615077265401</v>
      </c>
      <c r="F15" s="1">
        <v>15.319337969546709</v>
      </c>
      <c r="G15" s="1">
        <v>14.673245464922708</v>
      </c>
      <c r="H15" s="1">
        <v>14.038140827589798</v>
      </c>
      <c r="I15" s="1">
        <v>13.784960888665987</v>
      </c>
      <c r="J15" s="1">
        <v>14.8329475814368</v>
      </c>
      <c r="K15" s="1">
        <v>16.895712308139718</v>
      </c>
      <c r="L15" s="1">
        <v>18.043406864715269</v>
      </c>
      <c r="M15" s="1">
        <v>17.905881253267466</v>
      </c>
      <c r="N15" s="1">
        <v>17.686973386667795</v>
      </c>
      <c r="O15" s="1">
        <v>17.529133819258071</v>
      </c>
      <c r="P15" s="1">
        <v>17.195585199668855</v>
      </c>
      <c r="Q15" s="1">
        <v>16.570775386654578</v>
      </c>
      <c r="R15" s="1">
        <v>15.778606053205444</v>
      </c>
      <c r="S15" s="1">
        <v>14.906286651676281</v>
      </c>
      <c r="T15" s="1">
        <v>14.015129376691206</v>
      </c>
      <c r="U15" s="1">
        <v>13.106354282861233</v>
      </c>
      <c r="V15" s="1">
        <v>12.247296848436637</v>
      </c>
      <c r="W15" s="1">
        <v>11.455106880067898</v>
      </c>
      <c r="X15" s="1">
        <v>10.854320699550577</v>
      </c>
      <c r="Y15" s="1">
        <v>10.462787615573561</v>
      </c>
      <c r="Z15" s="1">
        <v>10.191477201864442</v>
      </c>
      <c r="AA15" s="1">
        <v>9.9955433705579129</v>
      </c>
      <c r="AB15" s="1">
        <v>9.849342253896582</v>
      </c>
    </row>
    <row r="16" spans="1:28" s="12" customFormat="1" x14ac:dyDescent="0.25">
      <c r="A16" s="17"/>
      <c r="B16" s="10" t="s">
        <v>2</v>
      </c>
      <c r="C16" s="5">
        <v>29.614008914613731</v>
      </c>
      <c r="D16" s="5">
        <v>28.19435169863646</v>
      </c>
      <c r="E16" s="5">
        <v>26.774459174649863</v>
      </c>
      <c r="F16" s="5">
        <v>25.527458605839421</v>
      </c>
      <c r="G16" s="5">
        <v>24.543287374692525</v>
      </c>
      <c r="H16" s="5">
        <v>23.603569247331738</v>
      </c>
      <c r="I16" s="5">
        <v>23.026940165234926</v>
      </c>
      <c r="J16" s="5">
        <v>23.712131056616833</v>
      </c>
      <c r="K16" s="5">
        <v>25.519692422468797</v>
      </c>
      <c r="L16" s="5">
        <v>26.78594658630152</v>
      </c>
      <c r="M16" s="5">
        <v>26.832586188735782</v>
      </c>
      <c r="N16" s="5">
        <v>26.732452663818954</v>
      </c>
      <c r="O16" s="5">
        <v>26.641584285838146</v>
      </c>
      <c r="P16" s="5">
        <v>26.218252774333369</v>
      </c>
      <c r="Q16" s="5">
        <v>25.258573145501302</v>
      </c>
      <c r="R16" s="5">
        <v>23.950989213175227</v>
      </c>
      <c r="S16" s="5">
        <v>22.450728132072474</v>
      </c>
      <c r="T16" s="5">
        <v>20.880206158930168</v>
      </c>
      <c r="U16" s="5">
        <v>19.329502836777007</v>
      </c>
      <c r="V16" s="5">
        <v>17.858827225402745</v>
      </c>
      <c r="W16" s="5">
        <v>16.503107418951128</v>
      </c>
      <c r="X16" s="5">
        <v>15.447543260595983</v>
      </c>
      <c r="Y16" s="5">
        <v>14.727459615535137</v>
      </c>
      <c r="Z16" s="5">
        <v>14.212682827983574</v>
      </c>
      <c r="AA16" s="5">
        <v>13.831736246688681</v>
      </c>
      <c r="AB16" s="5">
        <v>13.542065056645219</v>
      </c>
    </row>
    <row r="17" spans="1:28" ht="15" customHeight="1" x14ac:dyDescent="0.25">
      <c r="A17" s="18" t="s">
        <v>6</v>
      </c>
      <c r="B17" s="9" t="s">
        <v>0</v>
      </c>
      <c r="C17" s="1">
        <v>12.994749683708891</v>
      </c>
      <c r="D17" s="1">
        <v>12.094903927047087</v>
      </c>
      <c r="E17" s="1">
        <v>11.255350092950552</v>
      </c>
      <c r="F17" s="1">
        <v>10.613875275880162</v>
      </c>
      <c r="G17" s="1">
        <v>10.196066641082092</v>
      </c>
      <c r="H17" s="1">
        <v>9.7610687705775572</v>
      </c>
      <c r="I17" s="1">
        <v>9.6825288039014499</v>
      </c>
      <c r="J17" s="1">
        <v>10.661243770849008</v>
      </c>
      <c r="K17" s="1">
        <v>12.336914178358366</v>
      </c>
      <c r="L17" s="1">
        <v>13.123795182466131</v>
      </c>
      <c r="M17" s="1">
        <v>12.868134335177349</v>
      </c>
      <c r="N17" s="1">
        <v>12.64763362240766</v>
      </c>
      <c r="O17" s="1">
        <v>12.501312807762801</v>
      </c>
      <c r="P17" s="1">
        <v>12.209410533237067</v>
      </c>
      <c r="Q17" s="1">
        <v>11.695505770561272</v>
      </c>
      <c r="R17" s="1">
        <v>11.07114768667099</v>
      </c>
      <c r="S17" s="1">
        <v>10.403413822605119</v>
      </c>
      <c r="T17" s="1">
        <v>9.7355539628234897</v>
      </c>
      <c r="U17" s="1">
        <v>9.0950262358719431</v>
      </c>
      <c r="V17" s="1">
        <v>8.4977658199602395</v>
      </c>
      <c r="W17" s="1">
        <v>7.9512841132273921</v>
      </c>
      <c r="X17" s="1">
        <v>7.5612142653343186</v>
      </c>
      <c r="Y17" s="1">
        <v>7.3306024973799415</v>
      </c>
      <c r="Z17" s="1">
        <v>7.1807838473024876</v>
      </c>
      <c r="AA17" s="1">
        <v>7.0770866378120099</v>
      </c>
      <c r="AB17" s="1">
        <v>7.0015147145039576</v>
      </c>
    </row>
    <row r="18" spans="1:28" x14ac:dyDescent="0.25">
      <c r="A18" s="18"/>
      <c r="B18" s="9" t="s">
        <v>1</v>
      </c>
      <c r="C18" s="1">
        <v>18.111746283970501</v>
      </c>
      <c r="D18" s="1">
        <v>17.120768242004743</v>
      </c>
      <c r="E18" s="1">
        <v>16.160615077265401</v>
      </c>
      <c r="F18" s="1">
        <v>15.319337969546709</v>
      </c>
      <c r="G18" s="1">
        <v>14.673245464922708</v>
      </c>
      <c r="H18" s="1">
        <v>14.038140827589798</v>
      </c>
      <c r="I18" s="1">
        <v>13.784960888665987</v>
      </c>
      <c r="J18" s="1">
        <v>14.8329475814368</v>
      </c>
      <c r="K18" s="1">
        <v>16.895712308139718</v>
      </c>
      <c r="L18" s="1">
        <v>18.043406864715269</v>
      </c>
      <c r="M18" s="1">
        <v>17.905881253267466</v>
      </c>
      <c r="N18" s="1">
        <v>17.686973386667795</v>
      </c>
      <c r="O18" s="1">
        <v>17.529133679199315</v>
      </c>
      <c r="P18" s="1">
        <v>17.142638493918842</v>
      </c>
      <c r="Q18" s="1">
        <v>16.394857282602157</v>
      </c>
      <c r="R18" s="1">
        <v>15.449127340303303</v>
      </c>
      <c r="S18" s="1">
        <v>14.418055818725785</v>
      </c>
      <c r="T18" s="1">
        <v>13.378600360992371</v>
      </c>
      <c r="U18" s="1">
        <v>12.367006103816943</v>
      </c>
      <c r="V18" s="1">
        <v>11.408165036054944</v>
      </c>
      <c r="W18" s="1">
        <v>10.538156567913955</v>
      </c>
      <c r="X18" s="1">
        <v>9.9040690128981925</v>
      </c>
      <c r="Y18" s="1">
        <v>9.5186134195182603</v>
      </c>
      <c r="Z18" s="1">
        <v>9.2682919115497242</v>
      </c>
      <c r="AA18" s="1">
        <v>9.0973701822873032</v>
      </c>
      <c r="AB18" s="1">
        <v>8.9755173318400363</v>
      </c>
    </row>
    <row r="19" spans="1:28" s="12" customFormat="1" x14ac:dyDescent="0.25">
      <c r="A19" s="18"/>
      <c r="B19" s="10" t="s">
        <v>2</v>
      </c>
      <c r="C19" s="5">
        <v>29.614008914613731</v>
      </c>
      <c r="D19" s="5">
        <v>28.19435169863646</v>
      </c>
      <c r="E19" s="5">
        <v>26.774459174649863</v>
      </c>
      <c r="F19" s="5">
        <v>25.527458605839421</v>
      </c>
      <c r="G19" s="5">
        <v>24.543287374692525</v>
      </c>
      <c r="H19" s="5">
        <v>23.603569247331738</v>
      </c>
      <c r="I19" s="5">
        <v>23.026940165234926</v>
      </c>
      <c r="J19" s="5">
        <v>23.712131056616833</v>
      </c>
      <c r="K19" s="5">
        <v>25.519692422468797</v>
      </c>
      <c r="L19" s="5">
        <v>26.78594658630152</v>
      </c>
      <c r="M19" s="5">
        <v>26.832586188735782</v>
      </c>
      <c r="N19" s="5">
        <v>26.732452663818954</v>
      </c>
      <c r="O19" s="5">
        <v>26.641583655375559</v>
      </c>
      <c r="P19" s="5">
        <v>26.133972194159462</v>
      </c>
      <c r="Q19" s="5">
        <v>24.966554253751585</v>
      </c>
      <c r="R19" s="5">
        <v>23.384800323478089</v>
      </c>
      <c r="S19" s="5">
        <v>21.587823345010559</v>
      </c>
      <c r="T19" s="5">
        <v>19.730085374532518</v>
      </c>
      <c r="U19" s="5">
        <v>17.922884273380962</v>
      </c>
      <c r="V19" s="5">
        <v>16.238155598776931</v>
      </c>
      <c r="W19" s="5">
        <v>14.714886242581644</v>
      </c>
      <c r="X19" s="5">
        <v>13.572336476576286</v>
      </c>
      <c r="Y19" s="5">
        <v>12.840802492680069</v>
      </c>
      <c r="Z19" s="5">
        <v>12.352434473805902</v>
      </c>
      <c r="AA19" s="5">
        <v>12.01529217924756</v>
      </c>
      <c r="AB19" s="5">
        <v>11.775607610600703</v>
      </c>
    </row>
    <row r="20" spans="1:28" s="11" customFormat="1" x14ac:dyDescent="0.25">
      <c r="A20" s="15" t="s">
        <v>7</v>
      </c>
      <c r="B20" s="9" t="s">
        <v>0</v>
      </c>
      <c r="C20" s="3">
        <v>12.994749683708891</v>
      </c>
      <c r="D20" s="3">
        <v>12.094903927047087</v>
      </c>
      <c r="E20" s="3">
        <v>11.255350092950552</v>
      </c>
      <c r="F20" s="3">
        <v>10.613875275880162</v>
      </c>
      <c r="G20" s="3">
        <v>10.196066641082092</v>
      </c>
      <c r="H20" s="3">
        <v>9.7610687705775572</v>
      </c>
      <c r="I20" s="3">
        <v>9.6825288039014499</v>
      </c>
      <c r="J20" s="3">
        <v>10.661243770849008</v>
      </c>
      <c r="K20" s="3">
        <v>12.336914178358366</v>
      </c>
      <c r="L20" s="3">
        <v>13.123795182466131</v>
      </c>
      <c r="M20" s="3">
        <v>12.868134335177349</v>
      </c>
      <c r="N20" s="3">
        <v>12.64763362240766</v>
      </c>
      <c r="O20" s="3">
        <v>12.501305835701615</v>
      </c>
      <c r="P20" s="3">
        <v>12.196006778791096</v>
      </c>
      <c r="Q20" s="3">
        <v>11.633634923448559</v>
      </c>
      <c r="R20" s="3">
        <v>10.934717287026716</v>
      </c>
      <c r="S20" s="3">
        <v>10.176610189630756</v>
      </c>
      <c r="T20" s="3">
        <v>9.4114096658399937</v>
      </c>
      <c r="U20" s="3">
        <v>8.6738116717054723</v>
      </c>
      <c r="V20" s="3">
        <v>7.9850136865922483</v>
      </c>
      <c r="W20" s="3">
        <v>7.3557863629099156</v>
      </c>
      <c r="X20" s="3">
        <v>6.8945552858706538</v>
      </c>
      <c r="Y20" s="3">
        <v>6.6120804348897835</v>
      </c>
      <c r="Z20" s="3">
        <v>6.4239976276425894</v>
      </c>
      <c r="AA20" s="3">
        <v>6.2914133008803734</v>
      </c>
      <c r="AB20" s="3">
        <v>6.1934875031440084</v>
      </c>
    </row>
    <row r="21" spans="1:28" x14ac:dyDescent="0.25">
      <c r="A21" s="16"/>
      <c r="B21" s="9" t="s">
        <v>1</v>
      </c>
      <c r="C21" s="1">
        <v>18.111746283970501</v>
      </c>
      <c r="D21" s="1">
        <v>17.120768242004743</v>
      </c>
      <c r="E21" s="1">
        <v>16.160615077265401</v>
      </c>
      <c r="F21" s="1">
        <v>15.319337969546709</v>
      </c>
      <c r="G21" s="1">
        <v>14.673245464922708</v>
      </c>
      <c r="H21" s="1">
        <v>14.038140827589798</v>
      </c>
      <c r="I21" s="1">
        <v>13.784960888665987</v>
      </c>
      <c r="J21" s="1">
        <v>14.8329475814368</v>
      </c>
      <c r="K21" s="1">
        <v>16.895712308139718</v>
      </c>
      <c r="L21" s="1">
        <v>18.043406864715269</v>
      </c>
      <c r="M21" s="1">
        <v>17.905881253267466</v>
      </c>
      <c r="N21" s="1">
        <v>17.686973386667795</v>
      </c>
      <c r="O21" s="1">
        <v>17.529132426039215</v>
      </c>
      <c r="P21" s="1">
        <v>17.129841976760353</v>
      </c>
      <c r="Q21" s="1">
        <v>16.330284043889304</v>
      </c>
      <c r="R21" s="1">
        <v>15.3000255755626</v>
      </c>
      <c r="S21" s="1">
        <v>14.146748137827851</v>
      </c>
      <c r="T21" s="1">
        <v>12.926797098258483</v>
      </c>
      <c r="U21" s="1">
        <v>11.748668043513085</v>
      </c>
      <c r="V21" s="1">
        <v>10.65257615625543</v>
      </c>
      <c r="W21" s="1">
        <v>9.6591536305903549</v>
      </c>
      <c r="X21" s="1">
        <v>8.9175185662256862</v>
      </c>
      <c r="Y21" s="1">
        <v>8.451690135659117</v>
      </c>
      <c r="Z21" s="1">
        <v>8.1418764319650059</v>
      </c>
      <c r="AA21" s="1">
        <v>7.9258600998875881</v>
      </c>
      <c r="AB21" s="1">
        <v>7.7690277196428834</v>
      </c>
    </row>
    <row r="22" spans="1:28" s="12" customFormat="1" x14ac:dyDescent="0.25">
      <c r="A22" s="17"/>
      <c r="B22" s="10" t="s">
        <v>2</v>
      </c>
      <c r="C22" s="5">
        <v>29.614008914613731</v>
      </c>
      <c r="D22" s="5">
        <v>28.19435169863646</v>
      </c>
      <c r="E22" s="5">
        <v>26.774459174649863</v>
      </c>
      <c r="F22" s="5">
        <v>25.527458605839421</v>
      </c>
      <c r="G22" s="5">
        <v>24.543287374692525</v>
      </c>
      <c r="H22" s="5">
        <v>23.603569247331738</v>
      </c>
      <c r="I22" s="5">
        <v>23.026940165234926</v>
      </c>
      <c r="J22" s="5">
        <v>23.712131056616833</v>
      </c>
      <c r="K22" s="5">
        <v>25.519692422468797</v>
      </c>
      <c r="L22" s="5">
        <v>26.78594658630152</v>
      </c>
      <c r="M22" s="5">
        <v>26.832586188735782</v>
      </c>
      <c r="N22" s="5">
        <v>26.732452663818954</v>
      </c>
      <c r="O22" s="5">
        <v>26.641585271496659</v>
      </c>
      <c r="P22" s="5">
        <v>26.120131433893199</v>
      </c>
      <c r="Q22" s="5">
        <v>24.893129378632004</v>
      </c>
      <c r="R22" s="5">
        <v>23.208934787042274</v>
      </c>
      <c r="S22" s="5">
        <v>21.279616524231926</v>
      </c>
      <c r="T22" s="5">
        <v>19.27374268004489</v>
      </c>
      <c r="U22" s="5">
        <v>17.315427398157592</v>
      </c>
      <c r="V22" s="5">
        <v>15.486748075345259</v>
      </c>
      <c r="W22" s="5">
        <v>13.833562229607734</v>
      </c>
      <c r="X22" s="5">
        <v>12.574597032879426</v>
      </c>
      <c r="Y22" s="5">
        <v>11.749726344195929</v>
      </c>
      <c r="Z22" s="5">
        <v>11.188965447981944</v>
      </c>
      <c r="AA22" s="5">
        <v>10.794945340233618</v>
      </c>
      <c r="AB22" s="5">
        <v>10.509739252647815</v>
      </c>
    </row>
    <row r="25" spans="1:28" x14ac:dyDescent="0.25">
      <c r="A25" s="7" t="s">
        <v>13</v>
      </c>
    </row>
    <row r="26" spans="1:28" x14ac:dyDescent="0.25">
      <c r="A26" s="2" t="s">
        <v>9</v>
      </c>
    </row>
    <row r="27" spans="1:28" x14ac:dyDescent="0.25">
      <c r="A27" s="6" t="s">
        <v>10</v>
      </c>
    </row>
    <row r="28" spans="1:28" x14ac:dyDescent="0.25">
      <c r="A28" s="2" t="s">
        <v>12</v>
      </c>
    </row>
  </sheetData>
  <mergeCells count="6">
    <mergeCell ref="A20:A22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28"/>
  <sheetViews>
    <sheetView zoomScale="94" zoomScaleNormal="94" workbookViewId="0">
      <selection activeCell="I24" sqref="I24"/>
    </sheetView>
  </sheetViews>
  <sheetFormatPr defaultColWidth="8.85546875" defaultRowHeight="15" x14ac:dyDescent="0.25"/>
  <cols>
    <col min="1" max="1" width="17.85546875" customWidth="1"/>
    <col min="3" max="28" width="11.7109375" customWidth="1"/>
  </cols>
  <sheetData>
    <row r="2" spans="1:28" ht="17.25" x14ac:dyDescent="0.3">
      <c r="A2" s="8" t="s">
        <v>15</v>
      </c>
    </row>
    <row r="4" spans="1:28" s="12" customFormat="1" x14ac:dyDescent="0.25">
      <c r="A4" s="13" t="s">
        <v>11</v>
      </c>
      <c r="C4" s="14">
        <v>2015</v>
      </c>
      <c r="D4" s="12">
        <f t="shared" ref="D4:AB4" si="0">C4+1</f>
        <v>2016</v>
      </c>
      <c r="E4" s="12">
        <f t="shared" si="0"/>
        <v>2017</v>
      </c>
      <c r="F4" s="12">
        <f t="shared" si="0"/>
        <v>2018</v>
      </c>
      <c r="G4" s="12">
        <f t="shared" si="0"/>
        <v>2019</v>
      </c>
      <c r="H4" s="12">
        <f t="shared" si="0"/>
        <v>2020</v>
      </c>
      <c r="I4" s="12">
        <f t="shared" si="0"/>
        <v>2021</v>
      </c>
      <c r="J4" s="12">
        <f t="shared" si="0"/>
        <v>2022</v>
      </c>
      <c r="K4" s="12">
        <f t="shared" si="0"/>
        <v>2023</v>
      </c>
      <c r="L4" s="12">
        <f t="shared" si="0"/>
        <v>2024</v>
      </c>
      <c r="M4" s="12">
        <f t="shared" si="0"/>
        <v>2025</v>
      </c>
      <c r="N4" s="12">
        <f t="shared" si="0"/>
        <v>2026</v>
      </c>
      <c r="O4" s="12">
        <f t="shared" si="0"/>
        <v>2027</v>
      </c>
      <c r="P4" s="12">
        <f t="shared" si="0"/>
        <v>2028</v>
      </c>
      <c r="Q4" s="12">
        <f t="shared" si="0"/>
        <v>2029</v>
      </c>
      <c r="R4" s="12">
        <f t="shared" si="0"/>
        <v>2030</v>
      </c>
      <c r="S4" s="12">
        <f t="shared" si="0"/>
        <v>2031</v>
      </c>
      <c r="T4" s="12">
        <f t="shared" si="0"/>
        <v>2032</v>
      </c>
      <c r="U4" s="12">
        <f t="shared" si="0"/>
        <v>2033</v>
      </c>
      <c r="V4" s="12">
        <f t="shared" si="0"/>
        <v>2034</v>
      </c>
      <c r="W4" s="12">
        <f t="shared" si="0"/>
        <v>2035</v>
      </c>
      <c r="X4" s="12">
        <f t="shared" si="0"/>
        <v>2036</v>
      </c>
      <c r="Y4" s="12">
        <f t="shared" si="0"/>
        <v>2037</v>
      </c>
      <c r="Z4" s="12">
        <f t="shared" si="0"/>
        <v>2038</v>
      </c>
      <c r="AA4" s="12">
        <f t="shared" si="0"/>
        <v>2039</v>
      </c>
      <c r="AB4" s="12">
        <f t="shared" si="0"/>
        <v>2040</v>
      </c>
    </row>
    <row r="5" spans="1:28" s="11" customFormat="1" x14ac:dyDescent="0.25">
      <c r="A5" s="15" t="s">
        <v>8</v>
      </c>
      <c r="B5" s="9" t="s">
        <v>0</v>
      </c>
      <c r="C5" s="1">
        <v>7.6341941830201048</v>
      </c>
      <c r="D5" s="1">
        <v>7.0628841664915774</v>
      </c>
      <c r="E5" s="1">
        <v>6.7044750360816137</v>
      </c>
      <c r="F5" s="1">
        <v>6.5435076665920242</v>
      </c>
      <c r="G5" s="1">
        <v>6.3753182675138822</v>
      </c>
      <c r="H5" s="1">
        <v>6.2062712739836172</v>
      </c>
      <c r="I5" s="1">
        <v>6.6200819692684512</v>
      </c>
      <c r="J5" s="1">
        <v>7.5006355547144432</v>
      </c>
      <c r="K5" s="1">
        <v>8.0986237437395392</v>
      </c>
      <c r="L5" s="1">
        <v>7.7658394074891985</v>
      </c>
      <c r="M5" s="1">
        <v>7.6466457534421064</v>
      </c>
      <c r="N5" s="1">
        <v>7.6068660830815169</v>
      </c>
      <c r="O5" s="1">
        <v>7.5763800960320271</v>
      </c>
      <c r="P5" s="1">
        <v>7.5494745774599856</v>
      </c>
      <c r="Q5" s="1">
        <v>7.5265564348855163</v>
      </c>
      <c r="R5" s="1">
        <v>7.5074701741685939</v>
      </c>
      <c r="S5" s="1">
        <v>7.4917024961797711</v>
      </c>
      <c r="T5" s="1">
        <v>7.4786973670161103</v>
      </c>
      <c r="U5" s="1">
        <v>7.4679506598627432</v>
      </c>
      <c r="V5" s="1">
        <v>7.4590382586206525</v>
      </c>
      <c r="W5" s="1">
        <v>7.4516108123031213</v>
      </c>
      <c r="X5" s="1">
        <v>7.4453857459967807</v>
      </c>
      <c r="Y5" s="1">
        <v>7.4401342459016169</v>
      </c>
      <c r="Z5" s="1">
        <v>7.4356716766577478</v>
      </c>
      <c r="AA5" s="1">
        <v>7.4318503766939514</v>
      </c>
      <c r="AB5" s="1">
        <v>7.4273179712973665</v>
      </c>
    </row>
    <row r="6" spans="1:28" x14ac:dyDescent="0.25">
      <c r="A6" s="16"/>
      <c r="B6" s="9" t="s">
        <v>1</v>
      </c>
      <c r="C6" s="1">
        <v>8.1742627771829568</v>
      </c>
      <c r="D6" s="1">
        <v>7.583352837717265</v>
      </c>
      <c r="E6" s="1">
        <v>7.1677429123056804</v>
      </c>
      <c r="F6" s="1">
        <v>7.000523461717961</v>
      </c>
      <c r="G6" s="1">
        <v>6.8195654320421211</v>
      </c>
      <c r="H6" s="1">
        <v>6.648519779644662</v>
      </c>
      <c r="I6" s="1">
        <v>7.0703260321682384</v>
      </c>
      <c r="J6" s="1">
        <v>7.9685512228791149</v>
      </c>
      <c r="K6" s="1">
        <v>8.6602776527190635</v>
      </c>
      <c r="L6" s="1">
        <v>8.3979909044843239</v>
      </c>
      <c r="M6" s="1">
        <v>8.2900089031251376</v>
      </c>
      <c r="N6" s="1">
        <v>8.2223990668471263</v>
      </c>
      <c r="O6" s="1">
        <v>8.1630043963940597</v>
      </c>
      <c r="P6" s="1">
        <v>8.113148840003177</v>
      </c>
      <c r="Q6" s="1">
        <v>8.0720161627665217</v>
      </c>
      <c r="R6" s="1">
        <v>8.0397280149581185</v>
      </c>
      <c r="S6" s="1">
        <v>8.0256519630642646</v>
      </c>
      <c r="T6" s="1">
        <v>8.0148384780969906</v>
      </c>
      <c r="U6" s="1">
        <v>8.0065280403367929</v>
      </c>
      <c r="V6" s="1">
        <v>8.0001446804979714</v>
      </c>
      <c r="W6" s="1">
        <v>7.9952508754533893</v>
      </c>
      <c r="X6" s="1">
        <v>7.9915135754147366</v>
      </c>
      <c r="Y6" s="1">
        <v>7.9886761212119834</v>
      </c>
      <c r="Z6" s="1">
        <v>7.9865415723703519</v>
      </c>
      <c r="AA6" s="1">
        <v>7.9849585658818913</v>
      </c>
      <c r="AB6" s="1">
        <v>7.983809172050738</v>
      </c>
    </row>
    <row r="7" spans="1:28" s="12" customFormat="1" x14ac:dyDescent="0.25">
      <c r="A7" s="17"/>
      <c r="B7" s="10" t="s">
        <v>2</v>
      </c>
      <c r="C7" s="5">
        <v>8.9081310755130065</v>
      </c>
      <c r="D7" s="5">
        <v>8.3473299741028217</v>
      </c>
      <c r="E7" s="5">
        <v>7.9853054229151113</v>
      </c>
      <c r="F7" s="5">
        <v>7.8113472838402016</v>
      </c>
      <c r="G7" s="5">
        <v>7.6246707452298041</v>
      </c>
      <c r="H7" s="5">
        <v>7.4317735579081923</v>
      </c>
      <c r="I7" s="5">
        <v>7.8225713089141617</v>
      </c>
      <c r="J7" s="5">
        <v>8.6914134329271775</v>
      </c>
      <c r="K7" s="5">
        <v>9.2968884255954318</v>
      </c>
      <c r="L7" s="5">
        <v>8.97099524124609</v>
      </c>
      <c r="M7" s="5">
        <v>8.8609256316688079</v>
      </c>
      <c r="N7" s="5">
        <v>8.833445771087499</v>
      </c>
      <c r="O7" s="5">
        <v>8.8132389685470116</v>
      </c>
      <c r="P7" s="5">
        <v>8.7931500812999968</v>
      </c>
      <c r="Q7" s="5">
        <v>8.7740832518047842</v>
      </c>
      <c r="R7" s="5">
        <v>8.756664486287578</v>
      </c>
      <c r="S7" s="5">
        <v>8.7410306625671126</v>
      </c>
      <c r="T7" s="5">
        <v>8.7271120060275038</v>
      </c>
      <c r="U7" s="5">
        <v>8.7147563654389621</v>
      </c>
      <c r="V7" s="5">
        <v>8.7037921419433193</v>
      </c>
      <c r="W7" s="5">
        <v>8.6940486680991356</v>
      </c>
      <c r="X7" s="5">
        <v>8.6853689289456923</v>
      </c>
      <c r="Y7" s="5">
        <v>8.6776120029545325</v>
      </c>
      <c r="Z7" s="5">
        <v>8.6706523994569995</v>
      </c>
      <c r="AA7" s="5">
        <v>8.6643809930253735</v>
      </c>
      <c r="AB7" s="5">
        <v>8.6587034051932932</v>
      </c>
    </row>
    <row r="8" spans="1:28" s="11" customFormat="1" x14ac:dyDescent="0.25">
      <c r="A8" s="15" t="s">
        <v>3</v>
      </c>
      <c r="B8" s="9" t="s">
        <v>0</v>
      </c>
      <c r="C8" s="3">
        <v>7.6341941830201048</v>
      </c>
      <c r="D8" s="3">
        <v>7.0628841664915774</v>
      </c>
      <c r="E8" s="3">
        <v>6.7044750360816137</v>
      </c>
      <c r="F8" s="3">
        <v>6.5435076665920242</v>
      </c>
      <c r="G8" s="3">
        <v>6.3753182675138822</v>
      </c>
      <c r="H8" s="3">
        <v>6.2062712739836172</v>
      </c>
      <c r="I8" s="3">
        <v>6.6200819692684512</v>
      </c>
      <c r="J8" s="3">
        <v>7.5006355547144432</v>
      </c>
      <c r="K8" s="3">
        <v>8.0986237437395392</v>
      </c>
      <c r="L8" s="3">
        <v>7.7658394074891985</v>
      </c>
      <c r="M8" s="3">
        <v>7.6466457534421064</v>
      </c>
      <c r="N8" s="3">
        <v>7.6068659964252294</v>
      </c>
      <c r="O8" s="3">
        <v>7.5669332015060649</v>
      </c>
      <c r="P8" s="3">
        <v>7.4939094486928166</v>
      </c>
      <c r="Q8" s="3">
        <v>7.3952318189517641</v>
      </c>
      <c r="R8" s="3">
        <v>7.2795879527193339</v>
      </c>
      <c r="S8" s="3">
        <v>7.1538530740609234</v>
      </c>
      <c r="T8" s="3">
        <v>7.0239904496336329</v>
      </c>
      <c r="U8" s="3">
        <v>6.8947154116950324</v>
      </c>
      <c r="V8" s="3">
        <v>6.7693460478760406</v>
      </c>
      <c r="W8" s="3">
        <v>6.6554793893076178</v>
      </c>
      <c r="X8" s="3">
        <v>6.5664395621650513</v>
      </c>
      <c r="Y8" s="3">
        <v>6.493909465064112</v>
      </c>
      <c r="Z8" s="3">
        <v>6.4327732362364252</v>
      </c>
      <c r="AA8" s="3">
        <v>6.3801817313781486</v>
      </c>
      <c r="AB8" s="3">
        <v>6.3340961261253952</v>
      </c>
    </row>
    <row r="9" spans="1:28" x14ac:dyDescent="0.25">
      <c r="A9" s="16"/>
      <c r="B9" s="9" t="s">
        <v>1</v>
      </c>
      <c r="C9" s="1">
        <v>8.1742627771829568</v>
      </c>
      <c r="D9" s="1">
        <v>7.583352837717265</v>
      </c>
      <c r="E9" s="1">
        <v>7.1677429123056804</v>
      </c>
      <c r="F9" s="1">
        <v>7.000523461717961</v>
      </c>
      <c r="G9" s="1">
        <v>6.8195654320421211</v>
      </c>
      <c r="H9" s="1">
        <v>6.648519779644662</v>
      </c>
      <c r="I9" s="1">
        <v>7.0703260321682384</v>
      </c>
      <c r="J9" s="1">
        <v>7.9685512228791149</v>
      </c>
      <c r="K9" s="1">
        <v>8.6602776527190635</v>
      </c>
      <c r="L9" s="1">
        <v>8.3979909044843239</v>
      </c>
      <c r="M9" s="1">
        <v>8.2900089031251376</v>
      </c>
      <c r="N9" s="1">
        <v>8.2223991530631029</v>
      </c>
      <c r="O9" s="1">
        <v>8.1526708858962245</v>
      </c>
      <c r="P9" s="1">
        <v>8.0523049967382931</v>
      </c>
      <c r="Q9" s="1">
        <v>7.926000329985218</v>
      </c>
      <c r="R9" s="1">
        <v>7.795475608184006</v>
      </c>
      <c r="S9" s="1">
        <v>7.6611964179204044</v>
      </c>
      <c r="T9" s="1">
        <v>7.5223472732417225</v>
      </c>
      <c r="U9" s="1">
        <v>7.384231547709204</v>
      </c>
      <c r="V9" s="1">
        <v>7.2506228565295059</v>
      </c>
      <c r="W9" s="1">
        <v>7.1294539300503237</v>
      </c>
      <c r="X9" s="1">
        <v>7.0345568087723809</v>
      </c>
      <c r="Y9" s="1">
        <v>6.9579743925673085</v>
      </c>
      <c r="Z9" s="1">
        <v>6.8942880211803486</v>
      </c>
      <c r="AA9" s="1">
        <v>6.8401673302248724</v>
      </c>
      <c r="AB9" s="1">
        <v>6.7931613495427561</v>
      </c>
    </row>
    <row r="10" spans="1:28" s="12" customFormat="1" x14ac:dyDescent="0.25">
      <c r="A10" s="17"/>
      <c r="B10" s="10" t="s">
        <v>2</v>
      </c>
      <c r="C10" s="5">
        <v>8.9081310755130065</v>
      </c>
      <c r="D10" s="5">
        <v>8.3473299741028217</v>
      </c>
      <c r="E10" s="5">
        <v>7.9853054229151113</v>
      </c>
      <c r="F10" s="5">
        <v>7.8113472838402016</v>
      </c>
      <c r="G10" s="5">
        <v>7.6246707452298041</v>
      </c>
      <c r="H10" s="5">
        <v>7.4317735579081923</v>
      </c>
      <c r="I10" s="5">
        <v>7.8225713089141617</v>
      </c>
      <c r="J10" s="5">
        <v>8.6914134329271775</v>
      </c>
      <c r="K10" s="5">
        <v>9.2968884255954318</v>
      </c>
      <c r="L10" s="5">
        <v>8.97099524124609</v>
      </c>
      <c r="M10" s="5">
        <v>8.8609256316688079</v>
      </c>
      <c r="N10" s="5">
        <v>8.8334457787632061</v>
      </c>
      <c r="O10" s="5">
        <v>8.802832930712766</v>
      </c>
      <c r="P10" s="5">
        <v>8.7319320663719626</v>
      </c>
      <c r="Q10" s="5">
        <v>8.6295947255484222</v>
      </c>
      <c r="R10" s="5">
        <v>8.5062285096057924</v>
      </c>
      <c r="S10" s="5">
        <v>8.3699007751552603</v>
      </c>
      <c r="T10" s="5">
        <v>8.2274643519772699</v>
      </c>
      <c r="U10" s="5">
        <v>8.0843080557688296</v>
      </c>
      <c r="V10" s="5">
        <v>7.944256467782405</v>
      </c>
      <c r="W10" s="5">
        <v>7.8158210481429577</v>
      </c>
      <c r="X10" s="5">
        <v>7.7138340534990659</v>
      </c>
      <c r="Y10" s="5">
        <v>7.6292715407189702</v>
      </c>
      <c r="Z10" s="5">
        <v>7.5566888508339636</v>
      </c>
      <c r="AA10" s="5">
        <v>7.4932343405263175</v>
      </c>
      <c r="AB10" s="5">
        <v>7.4369151003743932</v>
      </c>
    </row>
    <row r="11" spans="1:28" x14ac:dyDescent="0.25">
      <c r="A11" s="16" t="s">
        <v>4</v>
      </c>
      <c r="B11" s="9" t="s">
        <v>0</v>
      </c>
      <c r="C11" s="1">
        <v>7.6341941830201048</v>
      </c>
      <c r="D11" s="1">
        <v>7.0628841664915774</v>
      </c>
      <c r="E11" s="1">
        <v>6.7044750360816137</v>
      </c>
      <c r="F11" s="1">
        <v>6.5435076665920242</v>
      </c>
      <c r="G11" s="1">
        <v>6.3753182675138822</v>
      </c>
      <c r="H11" s="1">
        <v>6.2062712739836172</v>
      </c>
      <c r="I11" s="1">
        <v>6.6200819692684512</v>
      </c>
      <c r="J11" s="1">
        <v>7.5006355547144432</v>
      </c>
      <c r="K11" s="1">
        <v>8.0986237437395392</v>
      </c>
      <c r="L11" s="1">
        <v>7.7658394074891985</v>
      </c>
      <c r="M11" s="1">
        <v>7.6466457534421064</v>
      </c>
      <c r="N11" s="1">
        <v>7.6068659962368246</v>
      </c>
      <c r="O11" s="1">
        <v>7.5667511789472988</v>
      </c>
      <c r="P11" s="1">
        <v>7.4931482444491033</v>
      </c>
      <c r="Q11" s="1">
        <v>7.3939414688813976</v>
      </c>
      <c r="R11" s="1">
        <v>7.2779087849285986</v>
      </c>
      <c r="S11" s="1">
        <v>7.1519177366297564</v>
      </c>
      <c r="T11" s="1">
        <v>7.0219166432121449</v>
      </c>
      <c r="U11" s="1">
        <v>6.8926067230654189</v>
      </c>
      <c r="V11" s="1">
        <v>6.7672932723343155</v>
      </c>
      <c r="W11" s="1">
        <v>6.6537444397962924</v>
      </c>
      <c r="X11" s="1">
        <v>6.5654986451871</v>
      </c>
      <c r="Y11" s="1">
        <v>6.4937694051488082</v>
      </c>
      <c r="Z11" s="1">
        <v>6.4333356124675829</v>
      </c>
      <c r="AA11" s="1">
        <v>6.381356247095769</v>
      </c>
      <c r="AB11" s="1">
        <v>6.3358107475551657</v>
      </c>
    </row>
    <row r="12" spans="1:28" x14ac:dyDescent="0.25">
      <c r="A12" s="16"/>
      <c r="B12" s="9" t="s">
        <v>1</v>
      </c>
      <c r="C12" s="1">
        <v>8.1742627771829568</v>
      </c>
      <c r="D12" s="1">
        <v>7.583352837717265</v>
      </c>
      <c r="E12" s="1">
        <v>7.1677429123056804</v>
      </c>
      <c r="F12" s="1">
        <v>7.000523461717961</v>
      </c>
      <c r="G12" s="1">
        <v>6.8195654320421211</v>
      </c>
      <c r="H12" s="1">
        <v>6.648519779644662</v>
      </c>
      <c r="I12" s="1">
        <v>7.0703260321682384</v>
      </c>
      <c r="J12" s="1">
        <v>7.9685512228791149</v>
      </c>
      <c r="K12" s="1">
        <v>8.6602776527190635</v>
      </c>
      <c r="L12" s="1">
        <v>8.3979909044843239</v>
      </c>
      <c r="M12" s="1">
        <v>8.2900089031251376</v>
      </c>
      <c r="N12" s="1">
        <v>8.2223991530268599</v>
      </c>
      <c r="O12" s="1">
        <v>8.152432653449539</v>
      </c>
      <c r="P12" s="1">
        <v>8.051294679739847</v>
      </c>
      <c r="Q12" s="1">
        <v>7.9242592229433972</v>
      </c>
      <c r="R12" s="1">
        <v>7.7934120843476924</v>
      </c>
      <c r="S12" s="1">
        <v>7.6588175877605824</v>
      </c>
      <c r="T12" s="1">
        <v>7.5198033317089026</v>
      </c>
      <c r="U12" s="1">
        <v>7.3816546742658815</v>
      </c>
      <c r="V12" s="1">
        <v>7.2481276475073972</v>
      </c>
      <c r="W12" s="1">
        <v>7.1273594864740986</v>
      </c>
      <c r="X12" s="1">
        <v>7.0334422719175818</v>
      </c>
      <c r="Y12" s="1">
        <v>6.9578535112738891</v>
      </c>
      <c r="Z12" s="1">
        <v>6.8950406830458864</v>
      </c>
      <c r="AA12" s="1">
        <v>6.8416785381636789</v>
      </c>
      <c r="AB12" s="1">
        <v>6.795336839697808</v>
      </c>
    </row>
    <row r="13" spans="1:28" s="12" customFormat="1" x14ac:dyDescent="0.25">
      <c r="A13" s="16"/>
      <c r="B13" s="10" t="s">
        <v>2</v>
      </c>
      <c r="C13" s="5">
        <v>8.9081310755130065</v>
      </c>
      <c r="D13" s="5">
        <v>8.3473299741028217</v>
      </c>
      <c r="E13" s="5">
        <v>7.9853054229151113</v>
      </c>
      <c r="F13" s="5">
        <v>7.8113472838402016</v>
      </c>
      <c r="G13" s="5">
        <v>7.6246707452298041</v>
      </c>
      <c r="H13" s="5">
        <v>7.4317735579081923</v>
      </c>
      <c r="I13" s="5">
        <v>7.8225713089141617</v>
      </c>
      <c r="J13" s="5">
        <v>8.6914134329271775</v>
      </c>
      <c r="K13" s="5">
        <v>9.2968884255954318</v>
      </c>
      <c r="L13" s="5">
        <v>8.97099524124609</v>
      </c>
      <c r="M13" s="5">
        <v>8.8609256316688079</v>
      </c>
      <c r="N13" s="5">
        <v>8.8334457787188168</v>
      </c>
      <c r="O13" s="5">
        <v>8.8026617505870099</v>
      </c>
      <c r="P13" s="5">
        <v>8.731214595272446</v>
      </c>
      <c r="Q13" s="5">
        <v>8.6283756507472926</v>
      </c>
      <c r="R13" s="5">
        <v>8.5046364837397874</v>
      </c>
      <c r="S13" s="5">
        <v>8.3680565269328753</v>
      </c>
      <c r="T13" s="5">
        <v>8.2254751262162795</v>
      </c>
      <c r="U13" s="5">
        <v>8.0822693790208788</v>
      </c>
      <c r="V13" s="5">
        <v>7.9422538136267038</v>
      </c>
      <c r="W13" s="5">
        <v>7.8141057488301682</v>
      </c>
      <c r="X13" s="5">
        <v>7.7128644322708775</v>
      </c>
      <c r="Y13" s="5">
        <v>7.6290584921178972</v>
      </c>
      <c r="Z13" s="5">
        <v>7.557144571023187</v>
      </c>
      <c r="AA13" s="5">
        <v>7.494280151808284</v>
      </c>
      <c r="AB13" s="5">
        <v>7.4384894726139787</v>
      </c>
    </row>
    <row r="14" spans="1:28" s="11" customFormat="1" x14ac:dyDescent="0.25">
      <c r="A14" s="15" t="s">
        <v>5</v>
      </c>
      <c r="B14" s="9" t="s">
        <v>0</v>
      </c>
      <c r="C14" s="3">
        <v>7.6341941830201048</v>
      </c>
      <c r="D14" s="3">
        <v>7.0628841664915774</v>
      </c>
      <c r="E14" s="3">
        <v>6.7044750360816137</v>
      </c>
      <c r="F14" s="3">
        <v>6.5435076665920242</v>
      </c>
      <c r="G14" s="3">
        <v>6.3753182675138822</v>
      </c>
      <c r="H14" s="3">
        <v>6.2062712739836172</v>
      </c>
      <c r="I14" s="3">
        <v>6.6200819692684512</v>
      </c>
      <c r="J14" s="3">
        <v>7.5006355547144432</v>
      </c>
      <c r="K14" s="3">
        <v>8.0986237437395392</v>
      </c>
      <c r="L14" s="3">
        <v>7.7658394074891985</v>
      </c>
      <c r="M14" s="3">
        <v>7.6466457534421064</v>
      </c>
      <c r="N14" s="3">
        <v>7.6068659962184775</v>
      </c>
      <c r="O14" s="3">
        <v>7.565096787931747</v>
      </c>
      <c r="P14" s="3">
        <v>7.4732521781655796</v>
      </c>
      <c r="Q14" s="3">
        <v>7.3272952317268452</v>
      </c>
      <c r="R14" s="3">
        <v>7.1401512315784119</v>
      </c>
      <c r="S14" s="3">
        <v>6.9279851918603681</v>
      </c>
      <c r="T14" s="3">
        <v>6.7055942854480088</v>
      </c>
      <c r="U14" s="3">
        <v>6.4844190166886371</v>
      </c>
      <c r="V14" s="3">
        <v>6.2722246724833317</v>
      </c>
      <c r="W14" s="3">
        <v>6.0800702381407508</v>
      </c>
      <c r="X14" s="3">
        <v>5.9294878429858642</v>
      </c>
      <c r="Y14" s="3">
        <v>5.8157318824739823</v>
      </c>
      <c r="Z14" s="3">
        <v>5.7294528998879128</v>
      </c>
      <c r="AA14" s="3">
        <v>5.6626180360562302</v>
      </c>
      <c r="AB14" s="3">
        <v>5.6092144139850761</v>
      </c>
    </row>
    <row r="15" spans="1:28" x14ac:dyDescent="0.25">
      <c r="A15" s="16"/>
      <c r="B15" s="9" t="s">
        <v>1</v>
      </c>
      <c r="C15" s="1">
        <v>8.1742627771829568</v>
      </c>
      <c r="D15" s="1">
        <v>7.583352837717265</v>
      </c>
      <c r="E15" s="1">
        <v>7.1677429123056804</v>
      </c>
      <c r="F15" s="1">
        <v>7.000523461717961</v>
      </c>
      <c r="G15" s="1">
        <v>6.8195654320421211</v>
      </c>
      <c r="H15" s="1">
        <v>6.648519779644662</v>
      </c>
      <c r="I15" s="1">
        <v>7.0703260321682384</v>
      </c>
      <c r="J15" s="1">
        <v>7.9685512228791149</v>
      </c>
      <c r="K15" s="1">
        <v>8.6602776527190635</v>
      </c>
      <c r="L15" s="1">
        <v>8.3979909044843239</v>
      </c>
      <c r="M15" s="1">
        <v>8.2900089031251376</v>
      </c>
      <c r="N15" s="1">
        <v>8.2223991530177987</v>
      </c>
      <c r="O15" s="1">
        <v>8.1495285521147682</v>
      </c>
      <c r="P15" s="1">
        <v>8.0212560945363798</v>
      </c>
      <c r="Q15" s="1">
        <v>7.8492445284185521</v>
      </c>
      <c r="R15" s="1">
        <v>7.6587300907533011</v>
      </c>
      <c r="S15" s="1">
        <v>7.4463523612911704</v>
      </c>
      <c r="T15" s="1">
        <v>7.2263204736717173</v>
      </c>
      <c r="U15" s="1">
        <v>6.941629954323143</v>
      </c>
      <c r="V15" s="1">
        <v>6.7118193693846466</v>
      </c>
      <c r="W15" s="1">
        <v>6.5185127870466992</v>
      </c>
      <c r="X15" s="1">
        <v>6.3670115064127062</v>
      </c>
      <c r="Y15" s="1">
        <v>6.2528801664040197</v>
      </c>
      <c r="Z15" s="1">
        <v>6.166259630742589</v>
      </c>
      <c r="AA15" s="1">
        <v>6.0988189034730249</v>
      </c>
      <c r="AB15" s="1">
        <v>6.0444814195555541</v>
      </c>
    </row>
    <row r="16" spans="1:28" s="12" customFormat="1" x14ac:dyDescent="0.25">
      <c r="A16" s="17"/>
      <c r="B16" s="10" t="s">
        <v>2</v>
      </c>
      <c r="C16" s="5">
        <v>8.9081310755130065</v>
      </c>
      <c r="D16" s="5">
        <v>8.3473299741028217</v>
      </c>
      <c r="E16" s="5">
        <v>7.9853054229151113</v>
      </c>
      <c r="F16" s="5">
        <v>7.8113472838402016</v>
      </c>
      <c r="G16" s="5">
        <v>7.6246707452298041</v>
      </c>
      <c r="H16" s="5">
        <v>7.4317735579081923</v>
      </c>
      <c r="I16" s="5">
        <v>7.8225713089141617</v>
      </c>
      <c r="J16" s="5">
        <v>8.6914134329271775</v>
      </c>
      <c r="K16" s="5">
        <v>9.2968884255954318</v>
      </c>
      <c r="L16" s="5">
        <v>8.97099524124609</v>
      </c>
      <c r="M16" s="5">
        <v>8.8609256316688079</v>
      </c>
      <c r="N16" s="5">
        <v>8.8334457787102583</v>
      </c>
      <c r="O16" s="5">
        <v>8.8005961908692232</v>
      </c>
      <c r="P16" s="5">
        <v>8.7052988355203968</v>
      </c>
      <c r="Q16" s="5">
        <v>8.538231760226763</v>
      </c>
      <c r="R16" s="5">
        <v>8.3124493184736874</v>
      </c>
      <c r="S16" s="5">
        <v>8.0476732584801258</v>
      </c>
      <c r="T16" s="5">
        <v>7.7636411598267241</v>
      </c>
      <c r="U16" s="5">
        <v>7.476805052785128</v>
      </c>
      <c r="V16" s="5">
        <v>7.1998711467466263</v>
      </c>
      <c r="W16" s="5">
        <v>6.946513066475803</v>
      </c>
      <c r="X16" s="5">
        <v>6.7426888581016939</v>
      </c>
      <c r="Y16" s="5">
        <v>6.5854230726148018</v>
      </c>
      <c r="Z16" s="5">
        <v>6.4648267881172377</v>
      </c>
      <c r="AA16" s="5">
        <v>6.37132691833283</v>
      </c>
      <c r="AB16" s="5">
        <v>6.3041022266499089</v>
      </c>
    </row>
    <row r="17" spans="1:28" ht="15" customHeight="1" x14ac:dyDescent="0.25">
      <c r="A17" s="16" t="s">
        <v>6</v>
      </c>
      <c r="B17" s="9" t="s">
        <v>0</v>
      </c>
      <c r="C17" s="1">
        <v>7.6341941830201048</v>
      </c>
      <c r="D17" s="1">
        <v>7.0628841664915774</v>
      </c>
      <c r="E17" s="1">
        <v>6.7044750360816137</v>
      </c>
      <c r="F17" s="1">
        <v>6.5435076665920242</v>
      </c>
      <c r="G17" s="1">
        <v>6.3753182675138822</v>
      </c>
      <c r="H17" s="1">
        <v>6.2062712739836172</v>
      </c>
      <c r="I17" s="1">
        <v>6.6200819692684512</v>
      </c>
      <c r="J17" s="1">
        <v>7.5006355547144432</v>
      </c>
      <c r="K17" s="1">
        <v>8.0986237437395392</v>
      </c>
      <c r="L17" s="1">
        <v>7.7658394074891985</v>
      </c>
      <c r="M17" s="1">
        <v>7.6466457534421064</v>
      </c>
      <c r="N17" s="1">
        <v>7.6068659962182545</v>
      </c>
      <c r="O17" s="1">
        <v>7.5650875207605841</v>
      </c>
      <c r="P17" s="1">
        <v>7.4725892449640039</v>
      </c>
      <c r="Q17" s="1">
        <v>7.3238520581043964</v>
      </c>
      <c r="R17" s="1">
        <v>7.1314050563419151</v>
      </c>
      <c r="S17" s="1">
        <v>6.9120069816083802</v>
      </c>
      <c r="T17" s="1">
        <v>6.6813552908512168</v>
      </c>
      <c r="U17" s="1">
        <v>6.4517369635443593</v>
      </c>
      <c r="V17" s="1">
        <v>6.2315668539635931</v>
      </c>
      <c r="W17" s="1">
        <v>6.0323391722881521</v>
      </c>
      <c r="X17" s="1">
        <v>5.8761013446527386</v>
      </c>
      <c r="Y17" s="1">
        <v>5.7586527415988149</v>
      </c>
      <c r="Z17" s="1">
        <v>5.6705143945430665</v>
      </c>
      <c r="AA17" s="1">
        <v>5.6031535590764685</v>
      </c>
      <c r="AB17" s="1">
        <v>5.5500572416658018</v>
      </c>
    </row>
    <row r="18" spans="1:28" x14ac:dyDescent="0.25">
      <c r="A18" s="16"/>
      <c r="B18" s="9" t="s">
        <v>1</v>
      </c>
      <c r="C18" s="1">
        <v>8.1742627771829568</v>
      </c>
      <c r="D18" s="1">
        <v>7.583352837717265</v>
      </c>
      <c r="E18" s="1">
        <v>7.1677429123056804</v>
      </c>
      <c r="F18" s="1">
        <v>7.000523461717961</v>
      </c>
      <c r="G18" s="1">
        <v>6.8195654320421211</v>
      </c>
      <c r="H18" s="1">
        <v>6.648519779644662</v>
      </c>
      <c r="I18" s="1">
        <v>7.0703260321682384</v>
      </c>
      <c r="J18" s="1">
        <v>7.9685512228791149</v>
      </c>
      <c r="K18" s="1">
        <v>8.6602776527190635</v>
      </c>
      <c r="L18" s="1">
        <v>8.3979909044843239</v>
      </c>
      <c r="M18" s="1">
        <v>8.2900089031251376</v>
      </c>
      <c r="N18" s="1">
        <v>8.2223991530268599</v>
      </c>
      <c r="O18" s="1">
        <v>8.1494460923554435</v>
      </c>
      <c r="P18" s="1">
        <v>8.020052223440743</v>
      </c>
      <c r="Q18" s="1">
        <v>7.8449903448214853</v>
      </c>
      <c r="R18" s="1">
        <v>7.6491369334580055</v>
      </c>
      <c r="S18" s="1">
        <v>7.4300343157376592</v>
      </c>
      <c r="T18" s="1">
        <v>7.2027283045076071</v>
      </c>
      <c r="U18" s="1">
        <v>6.902477440564267</v>
      </c>
      <c r="V18" s="1">
        <v>6.6670339801307161</v>
      </c>
      <c r="W18" s="1">
        <v>6.4663884028476888</v>
      </c>
      <c r="X18" s="1">
        <v>6.3091497701362993</v>
      </c>
      <c r="Y18" s="1">
        <v>6.1914111972546237</v>
      </c>
      <c r="Z18" s="1">
        <v>6.1030692333076662</v>
      </c>
      <c r="AA18" s="1">
        <v>6.0352168884636148</v>
      </c>
      <c r="AB18" s="1">
        <v>5.9812492287820627</v>
      </c>
    </row>
    <row r="19" spans="1:28" s="12" customFormat="1" x14ac:dyDescent="0.25">
      <c r="A19" s="16"/>
      <c r="B19" s="10" t="s">
        <v>2</v>
      </c>
      <c r="C19" s="5">
        <v>8.9081310755130065</v>
      </c>
      <c r="D19" s="5">
        <v>8.3473299741028217</v>
      </c>
      <c r="E19" s="5">
        <v>7.9853054229151113</v>
      </c>
      <c r="F19" s="5">
        <v>7.8113472838402016</v>
      </c>
      <c r="G19" s="5">
        <v>7.6246707452298041</v>
      </c>
      <c r="H19" s="5">
        <v>7.4317735579081923</v>
      </c>
      <c r="I19" s="5">
        <v>7.8225713089141617</v>
      </c>
      <c r="J19" s="5">
        <v>8.6914134329271775</v>
      </c>
      <c r="K19" s="5">
        <v>9.2968884255954318</v>
      </c>
      <c r="L19" s="5">
        <v>8.97099524124609</v>
      </c>
      <c r="M19" s="5">
        <v>8.8609256316688079</v>
      </c>
      <c r="N19" s="5">
        <v>8.8334457787102583</v>
      </c>
      <c r="O19" s="5">
        <v>8.8006136489212832</v>
      </c>
      <c r="P19" s="5">
        <v>8.7046124062747445</v>
      </c>
      <c r="Q19" s="5">
        <v>8.5338367804141626</v>
      </c>
      <c r="R19" s="5">
        <v>8.3003765855745826</v>
      </c>
      <c r="S19" s="5">
        <v>8.0245640311234983</v>
      </c>
      <c r="T19" s="5">
        <v>7.7274058548905122</v>
      </c>
      <c r="U19" s="5">
        <v>7.4267485658488521</v>
      </c>
      <c r="V19" s="5">
        <v>7.1364037422090956</v>
      </c>
      <c r="W19" s="5">
        <v>6.8709146124733538</v>
      </c>
      <c r="X19" s="5">
        <v>6.657089739719888</v>
      </c>
      <c r="Y19" s="5">
        <v>6.4928812396753557</v>
      </c>
      <c r="Z19" s="5">
        <v>6.3747780507435543</v>
      </c>
      <c r="AA19" s="5">
        <v>6.2994347078934965</v>
      </c>
      <c r="AB19" s="5">
        <v>6.2404172067282051</v>
      </c>
    </row>
    <row r="20" spans="1:28" s="11" customFormat="1" x14ac:dyDescent="0.25">
      <c r="A20" s="15" t="s">
        <v>7</v>
      </c>
      <c r="B20" s="9" t="s">
        <v>0</v>
      </c>
      <c r="C20" s="3">
        <v>7.6341941830201048</v>
      </c>
      <c r="D20" s="3">
        <v>7.0628841664915774</v>
      </c>
      <c r="E20" s="3">
        <v>6.7044750360816137</v>
      </c>
      <c r="F20" s="3">
        <v>6.5435076665920242</v>
      </c>
      <c r="G20" s="3">
        <v>6.3753182675138822</v>
      </c>
      <c r="H20" s="3">
        <v>6.2062712739836172</v>
      </c>
      <c r="I20" s="3">
        <v>6.6200819692684512</v>
      </c>
      <c r="J20" s="3">
        <v>7.5006355547144432</v>
      </c>
      <c r="K20" s="3">
        <v>8.0986237437395392</v>
      </c>
      <c r="L20" s="3">
        <v>7.7658394074891985</v>
      </c>
      <c r="M20" s="3">
        <v>7.6466457534421064</v>
      </c>
      <c r="N20" s="3">
        <v>7.6068659857205505</v>
      </c>
      <c r="O20" s="3">
        <v>7.5496624982384866</v>
      </c>
      <c r="P20" s="3">
        <v>7.3960771240423329</v>
      </c>
      <c r="Q20" s="3">
        <v>7.1654737964696347</v>
      </c>
      <c r="R20" s="3">
        <v>6.8799972854402567</v>
      </c>
      <c r="S20" s="3">
        <v>6.5611196860261245</v>
      </c>
      <c r="T20" s="3">
        <v>6.2286614801639653</v>
      </c>
      <c r="U20" s="3">
        <v>5.8982547012847979</v>
      </c>
      <c r="V20" s="3">
        <v>5.5806856407616445</v>
      </c>
      <c r="W20" s="3">
        <v>5.3006007129668946</v>
      </c>
      <c r="X20" s="3">
        <v>5.0985436919348643</v>
      </c>
      <c r="Y20" s="3">
        <v>4.9474387740624426</v>
      </c>
      <c r="Z20" s="3">
        <v>4.8321269309229038</v>
      </c>
      <c r="AA20" s="3">
        <v>4.7424519241103846</v>
      </c>
      <c r="AB20" s="3">
        <v>4.670524304007178</v>
      </c>
    </row>
    <row r="21" spans="1:28" x14ac:dyDescent="0.25">
      <c r="A21" s="16"/>
      <c r="B21" s="9" t="s">
        <v>1</v>
      </c>
      <c r="C21" s="1">
        <v>8.1742627771829568</v>
      </c>
      <c r="D21" s="1">
        <v>7.583352837717265</v>
      </c>
      <c r="E21" s="1">
        <v>7.1677429123056804</v>
      </c>
      <c r="F21" s="1">
        <v>7.000523461717961</v>
      </c>
      <c r="G21" s="1">
        <v>6.8195654320421211</v>
      </c>
      <c r="H21" s="1">
        <v>6.648519779644662</v>
      </c>
      <c r="I21" s="1">
        <v>7.0703260321682384</v>
      </c>
      <c r="J21" s="1">
        <v>7.9685512228791149</v>
      </c>
      <c r="K21" s="1">
        <v>8.6602776527190635</v>
      </c>
      <c r="L21" s="1">
        <v>8.3979909044843239</v>
      </c>
      <c r="M21" s="1">
        <v>8.2900089031251376</v>
      </c>
      <c r="N21" s="1">
        <v>8.2223991104489418</v>
      </c>
      <c r="O21" s="1">
        <v>8.1327903439158966</v>
      </c>
      <c r="P21" s="1">
        <v>7.941300648075762</v>
      </c>
      <c r="Q21" s="1">
        <v>7.6868861974395015</v>
      </c>
      <c r="R21" s="1">
        <v>7.3967043614628682</v>
      </c>
      <c r="S21" s="1">
        <v>7.0760309248193378</v>
      </c>
      <c r="T21" s="1">
        <v>6.6807498074288221</v>
      </c>
      <c r="U21" s="1">
        <v>6.3479849054244815</v>
      </c>
      <c r="V21" s="1">
        <v>5.9965829812240612</v>
      </c>
      <c r="W21" s="1">
        <v>5.6914048611784791</v>
      </c>
      <c r="X21" s="1">
        <v>5.4745815468983325</v>
      </c>
      <c r="Y21" s="1">
        <v>5.318501268596223</v>
      </c>
      <c r="Z21" s="1">
        <v>5.1998619453875898</v>
      </c>
      <c r="AA21" s="1">
        <v>5.0987129250689032</v>
      </c>
      <c r="AB21" s="1">
        <v>5.0193853887423163</v>
      </c>
    </row>
    <row r="22" spans="1:28" s="4" customFormat="1" x14ac:dyDescent="0.25">
      <c r="A22" s="17"/>
      <c r="B22" s="10" t="s">
        <v>2</v>
      </c>
      <c r="C22" s="5">
        <v>8.9081310755130065</v>
      </c>
      <c r="D22" s="5">
        <v>8.3473299741028217</v>
      </c>
      <c r="E22" s="5">
        <v>7.9853054229151113</v>
      </c>
      <c r="F22" s="5">
        <v>7.8113472838402016</v>
      </c>
      <c r="G22" s="5">
        <v>7.6246707452298041</v>
      </c>
      <c r="H22" s="5">
        <v>7.4317735579081923</v>
      </c>
      <c r="I22" s="5">
        <v>7.8225713089141617</v>
      </c>
      <c r="J22" s="5">
        <v>8.6914134329271775</v>
      </c>
      <c r="K22" s="5">
        <v>9.2968884255954318</v>
      </c>
      <c r="L22" s="5">
        <v>8.97099524124609</v>
      </c>
      <c r="M22" s="5">
        <v>8.8609256316688079</v>
      </c>
      <c r="N22" s="5">
        <v>8.8334457231761068</v>
      </c>
      <c r="O22" s="5">
        <v>8.7851942990064096</v>
      </c>
      <c r="P22" s="5">
        <v>8.6271264012969109</v>
      </c>
      <c r="Q22" s="5">
        <v>8.3721554480736735</v>
      </c>
      <c r="R22" s="5">
        <v>8.0424075046219397</v>
      </c>
      <c r="S22" s="5">
        <v>7.6631665753580736</v>
      </c>
      <c r="T22" s="5">
        <v>7.2597995139080407</v>
      </c>
      <c r="U22" s="5">
        <v>6.8536585058434687</v>
      </c>
      <c r="V22" s="5">
        <v>6.4608902819990179</v>
      </c>
      <c r="W22" s="5">
        <v>6.1101932611883516</v>
      </c>
      <c r="X22" s="5">
        <v>5.8472739895126882</v>
      </c>
      <c r="Y22" s="5">
        <v>5.6476295961285112</v>
      </c>
      <c r="Z22" s="5">
        <v>5.4946955288297561</v>
      </c>
      <c r="AA22" s="5">
        <v>5.3762198352487092</v>
      </c>
      <c r="AB22" s="5">
        <v>5.2823849334837591</v>
      </c>
    </row>
    <row r="25" spans="1:28" x14ac:dyDescent="0.25">
      <c r="A25" s="7" t="s">
        <v>13</v>
      </c>
    </row>
    <row r="26" spans="1:28" x14ac:dyDescent="0.25">
      <c r="A26" s="2" t="s">
        <v>9</v>
      </c>
    </row>
    <row r="27" spans="1:28" x14ac:dyDescent="0.25">
      <c r="A27" s="6" t="s">
        <v>10</v>
      </c>
    </row>
    <row r="28" spans="1:28" x14ac:dyDescent="0.25">
      <c r="A28" s="2" t="s">
        <v>12</v>
      </c>
    </row>
  </sheetData>
  <mergeCells count="6">
    <mergeCell ref="A20:A22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EEB78-23B0-5742-A74D-2CFD8CF26AFF}">
  <dimension ref="A2:AB28"/>
  <sheetViews>
    <sheetView tabSelected="1" zoomScale="73" zoomScaleNormal="73" workbookViewId="0">
      <selection activeCell="K27" sqref="K27"/>
    </sheetView>
  </sheetViews>
  <sheetFormatPr defaultColWidth="8.85546875" defaultRowHeight="15" x14ac:dyDescent="0.25"/>
  <cols>
    <col min="1" max="1" width="17.85546875" customWidth="1"/>
    <col min="3" max="28" width="11.7109375" customWidth="1"/>
  </cols>
  <sheetData>
    <row r="2" spans="1:28" ht="17.25" x14ac:dyDescent="0.3">
      <c r="A2" s="8" t="s">
        <v>16</v>
      </c>
    </row>
    <row r="4" spans="1:28" s="12" customFormat="1" x14ac:dyDescent="0.25">
      <c r="A4" s="13" t="s">
        <v>11</v>
      </c>
      <c r="C4" s="14">
        <v>2015</v>
      </c>
      <c r="D4" s="12">
        <f t="shared" ref="D4:AB4" si="0">C4+1</f>
        <v>2016</v>
      </c>
      <c r="E4" s="12">
        <f t="shared" si="0"/>
        <v>2017</v>
      </c>
      <c r="F4" s="12">
        <f t="shared" si="0"/>
        <v>2018</v>
      </c>
      <c r="G4" s="12">
        <f t="shared" si="0"/>
        <v>2019</v>
      </c>
      <c r="H4" s="12">
        <f t="shared" si="0"/>
        <v>2020</v>
      </c>
      <c r="I4" s="12">
        <f t="shared" si="0"/>
        <v>2021</v>
      </c>
      <c r="J4" s="12">
        <f t="shared" si="0"/>
        <v>2022</v>
      </c>
      <c r="K4" s="12">
        <f t="shared" si="0"/>
        <v>2023</v>
      </c>
      <c r="L4" s="12">
        <f t="shared" si="0"/>
        <v>2024</v>
      </c>
      <c r="M4" s="12">
        <f t="shared" si="0"/>
        <v>2025</v>
      </c>
      <c r="N4" s="12">
        <f t="shared" si="0"/>
        <v>2026</v>
      </c>
      <c r="O4" s="12">
        <f t="shared" si="0"/>
        <v>2027</v>
      </c>
      <c r="P4" s="12">
        <f t="shared" si="0"/>
        <v>2028</v>
      </c>
      <c r="Q4" s="12">
        <f t="shared" si="0"/>
        <v>2029</v>
      </c>
      <c r="R4" s="12">
        <f t="shared" si="0"/>
        <v>2030</v>
      </c>
      <c r="S4" s="12">
        <f t="shared" si="0"/>
        <v>2031</v>
      </c>
      <c r="T4" s="12">
        <f t="shared" si="0"/>
        <v>2032</v>
      </c>
      <c r="U4" s="12">
        <f t="shared" si="0"/>
        <v>2033</v>
      </c>
      <c r="V4" s="12">
        <f t="shared" si="0"/>
        <v>2034</v>
      </c>
      <c r="W4" s="12">
        <f t="shared" si="0"/>
        <v>2035</v>
      </c>
      <c r="X4" s="12">
        <f t="shared" si="0"/>
        <v>2036</v>
      </c>
      <c r="Y4" s="12">
        <f t="shared" si="0"/>
        <v>2037</v>
      </c>
      <c r="Z4" s="12">
        <f t="shared" si="0"/>
        <v>2038</v>
      </c>
      <c r="AA4" s="12">
        <f t="shared" si="0"/>
        <v>2039</v>
      </c>
      <c r="AB4" s="12">
        <f t="shared" si="0"/>
        <v>2040</v>
      </c>
    </row>
    <row r="5" spans="1:28" s="11" customFormat="1" x14ac:dyDescent="0.25">
      <c r="A5" s="15" t="s">
        <v>8</v>
      </c>
      <c r="B5" s="9" t="s">
        <v>0</v>
      </c>
      <c r="C5" s="1">
        <v>3.9338131563546317</v>
      </c>
      <c r="D5" s="1">
        <v>3.6957620609867816</v>
      </c>
      <c r="E5" s="1">
        <v>3.5616985259838181</v>
      </c>
      <c r="F5" s="1">
        <v>3.5283814356794783</v>
      </c>
      <c r="G5" s="1">
        <v>3.4885445107536524</v>
      </c>
      <c r="H5" s="1">
        <v>3.4455482839708838</v>
      </c>
      <c r="I5" s="1">
        <v>3.7280907534894268</v>
      </c>
      <c r="J5" s="1">
        <v>4.2838036314532193</v>
      </c>
      <c r="K5" s="1">
        <v>4.6899300980956662</v>
      </c>
      <c r="L5" s="1">
        <v>4.5483138313665767</v>
      </c>
      <c r="M5" s="1">
        <v>4.5226400585873794</v>
      </c>
      <c r="N5" s="1">
        <v>4.5366331520816248</v>
      </c>
      <c r="O5" s="1">
        <v>4.5492425806008958</v>
      </c>
      <c r="P5" s="1">
        <v>4.5570145238991078</v>
      </c>
      <c r="Q5" s="1">
        <v>4.5666215305076108</v>
      </c>
      <c r="R5" s="1">
        <v>4.5779724297372857</v>
      </c>
      <c r="S5" s="1">
        <v>4.5907636576004416</v>
      </c>
      <c r="T5" s="1">
        <v>4.6046742042636533</v>
      </c>
      <c r="U5" s="1">
        <v>4.6194366480010967</v>
      </c>
      <c r="V5" s="1">
        <v>4.6348455020065682</v>
      </c>
      <c r="W5" s="1">
        <v>4.650711858880789</v>
      </c>
      <c r="X5" s="1">
        <v>4.667291121754868</v>
      </c>
      <c r="Y5" s="1">
        <v>4.6844491397569055</v>
      </c>
      <c r="Z5" s="1">
        <v>4.702077183345585</v>
      </c>
      <c r="AA5" s="1">
        <v>4.7200879756664005</v>
      </c>
      <c r="AB5" s="1">
        <v>4.7376241723857433</v>
      </c>
    </row>
    <row r="6" spans="1:28" x14ac:dyDescent="0.25">
      <c r="A6" s="16"/>
      <c r="B6" s="9" t="s">
        <v>1</v>
      </c>
      <c r="C6" s="1">
        <v>4.2121043407440899</v>
      </c>
      <c r="D6" s="1">
        <v>3.9681052459669193</v>
      </c>
      <c r="E6" s="1">
        <v>3.8078058651868067</v>
      </c>
      <c r="F6" s="1">
        <v>3.7748128803261203</v>
      </c>
      <c r="G6" s="1">
        <v>3.7316344934341901</v>
      </c>
      <c r="H6" s="1">
        <v>3.6910722890456773</v>
      </c>
      <c r="I6" s="1">
        <v>3.9816451257014829</v>
      </c>
      <c r="J6" s="1">
        <v>4.551042163958348</v>
      </c>
      <c r="K6" s="1">
        <v>5.0151850618754574</v>
      </c>
      <c r="L6" s="1">
        <v>4.9185537045384597</v>
      </c>
      <c r="M6" s="1">
        <v>4.9031598376899543</v>
      </c>
      <c r="N6" s="1">
        <v>4.9037287877681122</v>
      </c>
      <c r="O6" s="1">
        <v>4.9014815406578025</v>
      </c>
      <c r="P6" s="1">
        <v>4.8972596329861133</v>
      </c>
      <c r="Q6" s="1">
        <v>4.8975707712282253</v>
      </c>
      <c r="R6" s="1">
        <v>4.9025373849241749</v>
      </c>
      <c r="S6" s="1">
        <v>4.9179570837700481</v>
      </c>
      <c r="T6" s="1">
        <v>4.9347791707953297</v>
      </c>
      <c r="U6" s="1">
        <v>4.9525834780300961</v>
      </c>
      <c r="V6" s="1">
        <v>4.9710744605651938</v>
      </c>
      <c r="W6" s="1">
        <v>4.9900094084094411</v>
      </c>
      <c r="X6" s="1">
        <v>5.0096424325591729</v>
      </c>
      <c r="Y6" s="1">
        <v>5.0298214718937562</v>
      </c>
      <c r="Z6" s="1">
        <v>5.0504294076313245</v>
      </c>
      <c r="AA6" s="1">
        <v>5.0713759027236707</v>
      </c>
      <c r="AB6" s="1">
        <v>5.0925902819016686</v>
      </c>
    </row>
    <row r="7" spans="1:28" s="12" customFormat="1" x14ac:dyDescent="0.25">
      <c r="A7" s="17"/>
      <c r="B7" s="10" t="s">
        <v>2</v>
      </c>
      <c r="C7" s="5">
        <v>4.5902583014362808</v>
      </c>
      <c r="D7" s="5">
        <v>4.3678679561513052</v>
      </c>
      <c r="E7" s="5">
        <v>4.2421293839211067</v>
      </c>
      <c r="F7" s="5">
        <v>4.2120242151869531</v>
      </c>
      <c r="G7" s="5">
        <v>4.172184377070784</v>
      </c>
      <c r="H7" s="5">
        <v>4.1259128869619488</v>
      </c>
      <c r="I7" s="5">
        <v>4.4052710979494476</v>
      </c>
      <c r="J7" s="5">
        <v>4.9638871472741757</v>
      </c>
      <c r="K7" s="5">
        <v>5.3838477036968921</v>
      </c>
      <c r="L7" s="5">
        <v>5.2541521393725876</v>
      </c>
      <c r="M7" s="5">
        <v>5.2408308832548629</v>
      </c>
      <c r="N7" s="5">
        <v>5.2681488663721678</v>
      </c>
      <c r="O7" s="5">
        <v>5.2919153316665515</v>
      </c>
      <c r="P7" s="5">
        <v>5.3077220434578116</v>
      </c>
      <c r="Q7" s="5">
        <v>5.3235391024829823</v>
      </c>
      <c r="R7" s="5">
        <v>5.3397173301622365</v>
      </c>
      <c r="S7" s="5">
        <v>5.3563266715605158</v>
      </c>
      <c r="T7" s="5">
        <v>5.3733298139737267</v>
      </c>
      <c r="U7" s="5">
        <v>5.3906709841129938</v>
      </c>
      <c r="V7" s="5">
        <v>5.4083020438811964</v>
      </c>
      <c r="W7" s="5">
        <v>5.4261442607357946</v>
      </c>
      <c r="X7" s="5">
        <v>5.4445997392451755</v>
      </c>
      <c r="Y7" s="5">
        <v>5.4635885239270303</v>
      </c>
      <c r="Z7" s="5">
        <v>5.4830388679201478</v>
      </c>
      <c r="AA7" s="5">
        <v>5.5028880384920233</v>
      </c>
      <c r="AB7" s="5">
        <v>5.5230815097037009</v>
      </c>
    </row>
    <row r="8" spans="1:28" s="11" customFormat="1" x14ac:dyDescent="0.25">
      <c r="A8" s="15" t="s">
        <v>3</v>
      </c>
      <c r="B8" s="9" t="s">
        <v>0</v>
      </c>
      <c r="C8" s="3">
        <v>3.9338131563546317</v>
      </c>
      <c r="D8" s="3">
        <v>3.6957620609867816</v>
      </c>
      <c r="E8" s="3">
        <v>3.5616985259838181</v>
      </c>
      <c r="F8" s="3">
        <v>3.5283814356794783</v>
      </c>
      <c r="G8" s="3">
        <v>3.4885445107536524</v>
      </c>
      <c r="H8" s="3">
        <v>3.4455482839708838</v>
      </c>
      <c r="I8" s="3">
        <v>3.7280907534894268</v>
      </c>
      <c r="J8" s="3">
        <v>4.2838036314532193</v>
      </c>
      <c r="K8" s="3">
        <v>4.6899300980956662</v>
      </c>
      <c r="L8" s="3">
        <v>4.5483138313665767</v>
      </c>
      <c r="M8" s="3">
        <v>4.5226400585873794</v>
      </c>
      <c r="N8" s="3">
        <v>4.5366331004009748</v>
      </c>
      <c r="O8" s="3">
        <v>4.5435701863588935</v>
      </c>
      <c r="P8" s="3">
        <v>4.5234742958718082</v>
      </c>
      <c r="Q8" s="3">
        <v>4.4869423540081073</v>
      </c>
      <c r="R8" s="3">
        <v>4.4390123669172521</v>
      </c>
      <c r="S8" s="3">
        <v>4.3837363697983145</v>
      </c>
      <c r="T8" s="3">
        <v>4.3247087089080472</v>
      </c>
      <c r="U8" s="3">
        <v>4.2648515638301472</v>
      </c>
      <c r="V8" s="3">
        <v>4.2062893356611024</v>
      </c>
      <c r="W8" s="3">
        <v>4.1538289776600452</v>
      </c>
      <c r="X8" s="3">
        <v>4.1163058726018793</v>
      </c>
      <c r="Y8" s="3">
        <v>4.0886881340932542</v>
      </c>
      <c r="Z8" s="3">
        <v>4.0678767937934701</v>
      </c>
      <c r="AA8" s="3">
        <v>4.0521562661277715</v>
      </c>
      <c r="AB8" s="3">
        <v>4.0402965152850205</v>
      </c>
    </row>
    <row r="9" spans="1:28" x14ac:dyDescent="0.25">
      <c r="A9" s="16"/>
      <c r="B9" s="9" t="s">
        <v>1</v>
      </c>
      <c r="C9" s="1">
        <v>4.2121043407440899</v>
      </c>
      <c r="D9" s="1">
        <v>3.9681052459669193</v>
      </c>
      <c r="E9" s="1">
        <v>3.8078058651868067</v>
      </c>
      <c r="F9" s="1">
        <v>3.7748128803261203</v>
      </c>
      <c r="G9" s="1">
        <v>3.7316344934341901</v>
      </c>
      <c r="H9" s="1">
        <v>3.6910722890456773</v>
      </c>
      <c r="I9" s="1">
        <v>3.9816451257014829</v>
      </c>
      <c r="J9" s="1">
        <v>4.551042163958348</v>
      </c>
      <c r="K9" s="1">
        <v>5.0151850618754574</v>
      </c>
      <c r="L9" s="1">
        <v>4.9185537045384597</v>
      </c>
      <c r="M9" s="1">
        <v>4.9031598376899543</v>
      </c>
      <c r="N9" s="1">
        <v>4.9037288391861669</v>
      </c>
      <c r="O9" s="1">
        <v>4.8952767772525903</v>
      </c>
      <c r="P9" s="1">
        <v>4.8605330668386184</v>
      </c>
      <c r="Q9" s="1">
        <v>4.8089779264734194</v>
      </c>
      <c r="R9" s="1">
        <v>4.7535949638198929</v>
      </c>
      <c r="S9" s="1">
        <v>4.6946261022861258</v>
      </c>
      <c r="T9" s="1">
        <v>4.6315496863632593</v>
      </c>
      <c r="U9" s="1">
        <v>4.567650669165066</v>
      </c>
      <c r="V9" s="1">
        <v>4.5053417837739076</v>
      </c>
      <c r="W9" s="1">
        <v>4.4496467643056103</v>
      </c>
      <c r="X9" s="1">
        <v>4.4097546667366165</v>
      </c>
      <c r="Y9" s="1">
        <v>4.3808721832763977</v>
      </c>
      <c r="Z9" s="1">
        <v>4.359723749176645</v>
      </c>
      <c r="AA9" s="1">
        <v>4.34430053492318</v>
      </c>
      <c r="AB9" s="1">
        <v>4.3331180300725265</v>
      </c>
    </row>
    <row r="10" spans="1:28" s="12" customFormat="1" x14ac:dyDescent="0.25">
      <c r="A10" s="17"/>
      <c r="B10" s="10" t="s">
        <v>2</v>
      </c>
      <c r="C10" s="5">
        <v>4.5902583014362808</v>
      </c>
      <c r="D10" s="5">
        <v>4.3678679561513052</v>
      </c>
      <c r="E10" s="5">
        <v>4.2421293839211067</v>
      </c>
      <c r="F10" s="5">
        <v>4.2120242151869531</v>
      </c>
      <c r="G10" s="5">
        <v>4.172184377070784</v>
      </c>
      <c r="H10" s="5">
        <v>4.1259128869619488</v>
      </c>
      <c r="I10" s="5">
        <v>4.4052710979494476</v>
      </c>
      <c r="J10" s="5">
        <v>4.9638871472741757</v>
      </c>
      <c r="K10" s="5">
        <v>5.3838477036968921</v>
      </c>
      <c r="L10" s="5">
        <v>5.2541521393725876</v>
      </c>
      <c r="M10" s="5">
        <v>5.2408308832548629</v>
      </c>
      <c r="N10" s="5">
        <v>5.2681488709498563</v>
      </c>
      <c r="O10" s="5">
        <v>5.2856670191728732</v>
      </c>
      <c r="P10" s="5">
        <v>5.2707696197773304</v>
      </c>
      <c r="Q10" s="5">
        <v>5.2358729273042064</v>
      </c>
      <c r="R10" s="5">
        <v>5.1870042363948663</v>
      </c>
      <c r="S10" s="5">
        <v>5.1289057882234541</v>
      </c>
      <c r="T10" s="5">
        <v>5.0656940652706188</v>
      </c>
      <c r="U10" s="5">
        <v>5.000695720616263</v>
      </c>
      <c r="V10" s="5">
        <v>4.9363470302533088</v>
      </c>
      <c r="W10" s="5">
        <v>4.878023363146343</v>
      </c>
      <c r="X10" s="5">
        <v>4.8355733901288351</v>
      </c>
      <c r="Y10" s="5">
        <v>4.8035335552687828</v>
      </c>
      <c r="Z10" s="5">
        <v>4.778604512446635</v>
      </c>
      <c r="AA10" s="5">
        <v>4.7590739206058332</v>
      </c>
      <c r="AB10" s="5">
        <v>4.7437458425332348</v>
      </c>
    </row>
    <row r="11" spans="1:28" x14ac:dyDescent="0.25">
      <c r="A11" s="16" t="s">
        <v>4</v>
      </c>
      <c r="B11" s="9" t="s">
        <v>0</v>
      </c>
      <c r="C11" s="1">
        <v>3.9338131563546317</v>
      </c>
      <c r="D11" s="1">
        <v>3.6957620609867816</v>
      </c>
      <c r="E11" s="1">
        <v>3.5616985259838181</v>
      </c>
      <c r="F11" s="1">
        <v>3.5283814356794783</v>
      </c>
      <c r="G11" s="1">
        <v>3.4885445107536524</v>
      </c>
      <c r="H11" s="1">
        <v>3.4455482839708838</v>
      </c>
      <c r="I11" s="1">
        <v>3.7280907534894268</v>
      </c>
      <c r="J11" s="1">
        <v>4.2838036314532193</v>
      </c>
      <c r="K11" s="1">
        <v>4.6899300980956662</v>
      </c>
      <c r="L11" s="1">
        <v>4.5483138313665767</v>
      </c>
      <c r="M11" s="1">
        <v>4.5226400585873794</v>
      </c>
      <c r="N11" s="1">
        <v>4.5366331002886131</v>
      </c>
      <c r="O11" s="1">
        <v>4.5434608907897074</v>
      </c>
      <c r="P11" s="1">
        <v>4.5230148176977103</v>
      </c>
      <c r="Q11" s="1">
        <v>4.4861594540904353</v>
      </c>
      <c r="R11" s="1">
        <v>4.4379884289364737</v>
      </c>
      <c r="S11" s="1">
        <v>4.3825504341917254</v>
      </c>
      <c r="T11" s="1">
        <v>4.3234318551372581</v>
      </c>
      <c r="U11" s="1">
        <v>4.2635471961423397</v>
      </c>
      <c r="V11" s="1">
        <v>4.2050137962207197</v>
      </c>
      <c r="W11" s="1">
        <v>4.1527461580563205</v>
      </c>
      <c r="X11" s="1">
        <v>4.1157160397030443</v>
      </c>
      <c r="Y11" s="1">
        <v>4.0885999497234469</v>
      </c>
      <c r="Z11" s="1">
        <v>4.0682324222504507</v>
      </c>
      <c r="AA11" s="1">
        <v>4.0529022199932259</v>
      </c>
      <c r="AB11" s="1">
        <v>4.0413902118203735</v>
      </c>
    </row>
    <row r="12" spans="1:28" x14ac:dyDescent="0.25">
      <c r="A12" s="16"/>
      <c r="B12" s="9" t="s">
        <v>1</v>
      </c>
      <c r="C12" s="1">
        <v>4.2121043407440899</v>
      </c>
      <c r="D12" s="1">
        <v>3.9681052459669193</v>
      </c>
      <c r="E12" s="1">
        <v>3.8078058651868067</v>
      </c>
      <c r="F12" s="1">
        <v>3.7748128803261203</v>
      </c>
      <c r="G12" s="1">
        <v>3.7316344934341901</v>
      </c>
      <c r="H12" s="1">
        <v>3.6910722890456773</v>
      </c>
      <c r="I12" s="1">
        <v>3.9816451257014829</v>
      </c>
      <c r="J12" s="1">
        <v>4.551042163958348</v>
      </c>
      <c r="K12" s="1">
        <v>5.0151850618754574</v>
      </c>
      <c r="L12" s="1">
        <v>4.9185537045384597</v>
      </c>
      <c r="M12" s="1">
        <v>4.9031598376899543</v>
      </c>
      <c r="N12" s="1">
        <v>4.9037288391645522</v>
      </c>
      <c r="O12" s="1">
        <v>4.8951337304179807</v>
      </c>
      <c r="P12" s="1">
        <v>4.8599232192010877</v>
      </c>
      <c r="Q12" s="1">
        <v>4.8079215367455426</v>
      </c>
      <c r="R12" s="1">
        <v>4.7523366497658115</v>
      </c>
      <c r="S12" s="1">
        <v>4.6931684033117085</v>
      </c>
      <c r="T12" s="1">
        <v>4.6299833678750968</v>
      </c>
      <c r="U12" s="1">
        <v>4.566056697249139</v>
      </c>
      <c r="V12" s="1">
        <v>4.5037913280835493</v>
      </c>
      <c r="W12" s="1">
        <v>4.4483395766621516</v>
      </c>
      <c r="X12" s="1">
        <v>4.4090559966952334</v>
      </c>
      <c r="Y12" s="1">
        <v>4.3807960741294041</v>
      </c>
      <c r="Z12" s="1">
        <v>4.3601997080864265</v>
      </c>
      <c r="AA12" s="1">
        <v>4.3452603274457875</v>
      </c>
      <c r="AB12" s="1">
        <v>4.3345056985128947</v>
      </c>
    </row>
    <row r="13" spans="1:28" s="12" customFormat="1" x14ac:dyDescent="0.25">
      <c r="A13" s="16"/>
      <c r="B13" s="10" t="s">
        <v>2</v>
      </c>
      <c r="C13" s="5">
        <v>4.5902583014362808</v>
      </c>
      <c r="D13" s="5">
        <v>4.3678679561513052</v>
      </c>
      <c r="E13" s="5">
        <v>4.2421293839211067</v>
      </c>
      <c r="F13" s="5">
        <v>4.2120242151869531</v>
      </c>
      <c r="G13" s="5">
        <v>4.172184377070784</v>
      </c>
      <c r="H13" s="5">
        <v>4.1259128869619488</v>
      </c>
      <c r="I13" s="5">
        <v>4.4052710979494476</v>
      </c>
      <c r="J13" s="5">
        <v>4.9638871472741757</v>
      </c>
      <c r="K13" s="5">
        <v>5.3838477036968921</v>
      </c>
      <c r="L13" s="5">
        <v>5.2541521393725876</v>
      </c>
      <c r="M13" s="5">
        <v>5.2408308832548629</v>
      </c>
      <c r="N13" s="5">
        <v>5.2681488709233832</v>
      </c>
      <c r="O13" s="5">
        <v>5.2855642339499607</v>
      </c>
      <c r="P13" s="5">
        <v>5.2703365398076665</v>
      </c>
      <c r="Q13" s="5">
        <v>5.2351332725520896</v>
      </c>
      <c r="R13" s="5">
        <v>5.1860334365977421</v>
      </c>
      <c r="S13" s="5">
        <v>5.1277756702403616</v>
      </c>
      <c r="T13" s="5">
        <v>5.0644692882675422</v>
      </c>
      <c r="U13" s="5">
        <v>4.9994346600506754</v>
      </c>
      <c r="V13" s="5">
        <v>4.9351026348924325</v>
      </c>
      <c r="W13" s="5">
        <v>4.8769528076575428</v>
      </c>
      <c r="X13" s="5">
        <v>4.8349655633883302</v>
      </c>
      <c r="Y13" s="5">
        <v>4.8033994158429296</v>
      </c>
      <c r="Z13" s="5">
        <v>4.7788926950879507</v>
      </c>
      <c r="AA13" s="5">
        <v>4.7597381322094883</v>
      </c>
      <c r="AB13" s="5">
        <v>4.7447500790567583</v>
      </c>
    </row>
    <row r="14" spans="1:28" s="11" customFormat="1" x14ac:dyDescent="0.25">
      <c r="A14" s="15" t="s">
        <v>5</v>
      </c>
      <c r="B14" s="9" t="s">
        <v>0</v>
      </c>
      <c r="C14" s="3">
        <v>3.9338131563546317</v>
      </c>
      <c r="D14" s="3">
        <v>3.6957620609867816</v>
      </c>
      <c r="E14" s="3">
        <v>3.5616985259838181</v>
      </c>
      <c r="F14" s="3">
        <v>3.5283814356794783</v>
      </c>
      <c r="G14" s="3">
        <v>3.4885445107536524</v>
      </c>
      <c r="H14" s="3">
        <v>3.4455482839708838</v>
      </c>
      <c r="I14" s="3">
        <v>3.7280907534894268</v>
      </c>
      <c r="J14" s="3">
        <v>4.2838036314532193</v>
      </c>
      <c r="K14" s="3">
        <v>4.6899300980956662</v>
      </c>
      <c r="L14" s="3">
        <v>4.5483138313665767</v>
      </c>
      <c r="M14" s="3">
        <v>4.5226400585873794</v>
      </c>
      <c r="N14" s="3">
        <v>4.5366331002776707</v>
      </c>
      <c r="O14" s="3">
        <v>4.5424675105794332</v>
      </c>
      <c r="P14" s="3">
        <v>4.5110051523770034</v>
      </c>
      <c r="Q14" s="3">
        <v>4.4457228820471233</v>
      </c>
      <c r="R14" s="3">
        <v>4.3539853937469184</v>
      </c>
      <c r="S14" s="3">
        <v>4.2453291031517502</v>
      </c>
      <c r="T14" s="3">
        <v>4.1286704776475958</v>
      </c>
      <c r="U14" s="3">
        <v>4.0110552695104795</v>
      </c>
      <c r="V14" s="3">
        <v>3.8973915004707118</v>
      </c>
      <c r="W14" s="3">
        <v>3.794703651546405</v>
      </c>
      <c r="X14" s="3">
        <v>3.7170197636840232</v>
      </c>
      <c r="Y14" s="3">
        <v>3.6616947105381978</v>
      </c>
      <c r="Z14" s="3">
        <v>3.6231198639643991</v>
      </c>
      <c r="AA14" s="3">
        <v>3.5964199961020533</v>
      </c>
      <c r="AB14" s="3">
        <v>3.5779200376886986</v>
      </c>
    </row>
    <row r="15" spans="1:28" x14ac:dyDescent="0.25">
      <c r="A15" s="16"/>
      <c r="B15" s="9" t="s">
        <v>1</v>
      </c>
      <c r="C15" s="1">
        <v>4.2121043407440899</v>
      </c>
      <c r="D15" s="1">
        <v>3.9681052459669193</v>
      </c>
      <c r="E15" s="1">
        <v>3.8078058651868067</v>
      </c>
      <c r="F15" s="1">
        <v>3.7748128803261203</v>
      </c>
      <c r="G15" s="1">
        <v>3.7316344934341901</v>
      </c>
      <c r="H15" s="1">
        <v>3.6910722890456773</v>
      </c>
      <c r="I15" s="1">
        <v>3.9816451257014829</v>
      </c>
      <c r="J15" s="1">
        <v>4.551042163958348</v>
      </c>
      <c r="K15" s="1">
        <v>5.0151850618754574</v>
      </c>
      <c r="L15" s="1">
        <v>4.9185537045384597</v>
      </c>
      <c r="M15" s="1">
        <v>4.9031598376899543</v>
      </c>
      <c r="N15" s="1">
        <v>4.9037288391591485</v>
      </c>
      <c r="O15" s="1">
        <v>4.8933899607967275</v>
      </c>
      <c r="P15" s="1">
        <v>4.8417913256970975</v>
      </c>
      <c r="Q15" s="1">
        <v>4.7624075328202116</v>
      </c>
      <c r="R15" s="1">
        <v>4.670209056961161</v>
      </c>
      <c r="S15" s="1">
        <v>4.5629740128274374</v>
      </c>
      <c r="T15" s="1">
        <v>4.4492843932438246</v>
      </c>
      <c r="U15" s="1">
        <v>4.2938714070791502</v>
      </c>
      <c r="V15" s="1">
        <v>4.1705438068400014</v>
      </c>
      <c r="W15" s="1">
        <v>4.0683451517530678</v>
      </c>
      <c r="X15" s="1">
        <v>3.9912903494582705</v>
      </c>
      <c r="Y15" s="1">
        <v>3.9369315322031162</v>
      </c>
      <c r="Z15" s="1">
        <v>3.8993422487062102</v>
      </c>
      <c r="AA15" s="1">
        <v>3.8734581985564422</v>
      </c>
      <c r="AB15" s="1">
        <v>3.8555615086748203</v>
      </c>
    </row>
    <row r="16" spans="1:28" s="12" customFormat="1" x14ac:dyDescent="0.25">
      <c r="A16" s="17"/>
      <c r="B16" s="10" t="s">
        <v>2</v>
      </c>
      <c r="C16" s="5">
        <v>4.5902583014362808</v>
      </c>
      <c r="D16" s="5">
        <v>4.3678679561513052</v>
      </c>
      <c r="E16" s="5">
        <v>4.2421293839211067</v>
      </c>
      <c r="F16" s="5">
        <v>4.2120242151869531</v>
      </c>
      <c r="G16" s="5">
        <v>4.172184377070784</v>
      </c>
      <c r="H16" s="5">
        <v>4.1259128869619488</v>
      </c>
      <c r="I16" s="5">
        <v>4.4052710979494476</v>
      </c>
      <c r="J16" s="5">
        <v>4.9638871472741757</v>
      </c>
      <c r="K16" s="5">
        <v>5.3838477036968921</v>
      </c>
      <c r="L16" s="5">
        <v>5.2541521393725876</v>
      </c>
      <c r="M16" s="5">
        <v>5.2408308832548629</v>
      </c>
      <c r="N16" s="5">
        <v>5.2681488709182789</v>
      </c>
      <c r="O16" s="5">
        <v>5.2843239672128348</v>
      </c>
      <c r="P16" s="5">
        <v>5.2546932665737174</v>
      </c>
      <c r="Q16" s="5">
        <v>5.1804398633076225</v>
      </c>
      <c r="R16" s="5">
        <v>5.0688398249647788</v>
      </c>
      <c r="S16" s="5">
        <v>4.9314512878898693</v>
      </c>
      <c r="T16" s="5">
        <v>4.7801156304947536</v>
      </c>
      <c r="U16" s="5">
        <v>4.6249136937161008</v>
      </c>
      <c r="V16" s="5">
        <v>4.4738060380583722</v>
      </c>
      <c r="W16" s="5">
        <v>4.33546940519083</v>
      </c>
      <c r="X16" s="5">
        <v>4.2267913198579778</v>
      </c>
      <c r="Y16" s="5">
        <v>4.1463068310143516</v>
      </c>
      <c r="Z16" s="5">
        <v>4.088146418582995</v>
      </c>
      <c r="AA16" s="5">
        <v>4.0465324316231044</v>
      </c>
      <c r="AB16" s="5">
        <v>4.0211644646944436</v>
      </c>
    </row>
    <row r="17" spans="1:28" ht="15" customHeight="1" x14ac:dyDescent="0.25">
      <c r="A17" s="16" t="s">
        <v>6</v>
      </c>
      <c r="B17" s="9" t="s">
        <v>0</v>
      </c>
      <c r="C17" s="1">
        <v>3.9338131563546317</v>
      </c>
      <c r="D17" s="1">
        <v>3.6957620609867816</v>
      </c>
      <c r="E17" s="1">
        <v>3.5616985259838181</v>
      </c>
      <c r="F17" s="1">
        <v>3.5283814356794783</v>
      </c>
      <c r="G17" s="1">
        <v>3.4885445107536524</v>
      </c>
      <c r="H17" s="1">
        <v>3.4455482839708838</v>
      </c>
      <c r="I17" s="1">
        <v>3.7280907534894268</v>
      </c>
      <c r="J17" s="1">
        <v>4.2838036314532193</v>
      </c>
      <c r="K17" s="1">
        <v>4.6899300980956662</v>
      </c>
      <c r="L17" s="1">
        <v>4.5483138313665767</v>
      </c>
      <c r="M17" s="1">
        <v>4.5226400585873794</v>
      </c>
      <c r="N17" s="1">
        <v>4.5366331002775375</v>
      </c>
      <c r="O17" s="1">
        <v>4.5424619461002074</v>
      </c>
      <c r="P17" s="1">
        <v>4.5106049925782044</v>
      </c>
      <c r="Q17" s="1">
        <v>4.4436337897864622</v>
      </c>
      <c r="R17" s="1">
        <v>4.3486520726454776</v>
      </c>
      <c r="S17" s="1">
        <v>4.2355379793083072</v>
      </c>
      <c r="T17" s="1">
        <v>4.1137463982685594</v>
      </c>
      <c r="U17" s="1">
        <v>3.9908391913783605</v>
      </c>
      <c r="V17" s="1">
        <v>3.8721278269575992</v>
      </c>
      <c r="W17" s="1">
        <v>3.764913658538291</v>
      </c>
      <c r="X17" s="1">
        <v>3.6835533539918526</v>
      </c>
      <c r="Y17" s="1">
        <v>3.6257566046474299</v>
      </c>
      <c r="Z17" s="1">
        <v>3.5858490680963566</v>
      </c>
      <c r="AA17" s="1">
        <v>3.5586531482048374</v>
      </c>
      <c r="AB17" s="1">
        <v>3.5401857639397019</v>
      </c>
    </row>
    <row r="18" spans="1:28" x14ac:dyDescent="0.25">
      <c r="A18" s="16"/>
      <c r="B18" s="9" t="s">
        <v>1</v>
      </c>
      <c r="C18" s="1">
        <v>4.2121043407440899</v>
      </c>
      <c r="D18" s="1">
        <v>3.9681052459669193</v>
      </c>
      <c r="E18" s="1">
        <v>3.8078058651868067</v>
      </c>
      <c r="F18" s="1">
        <v>3.7748128803261203</v>
      </c>
      <c r="G18" s="1">
        <v>3.7316344934341901</v>
      </c>
      <c r="H18" s="1">
        <v>3.6910722890456773</v>
      </c>
      <c r="I18" s="1">
        <v>3.9816451257014829</v>
      </c>
      <c r="J18" s="1">
        <v>4.551042163958348</v>
      </c>
      <c r="K18" s="1">
        <v>5.0151850618754574</v>
      </c>
      <c r="L18" s="1">
        <v>4.9185537045384597</v>
      </c>
      <c r="M18" s="1">
        <v>4.9031598376899543</v>
      </c>
      <c r="N18" s="1">
        <v>4.9037288391645522</v>
      </c>
      <c r="O18" s="1">
        <v>4.8933404477781686</v>
      </c>
      <c r="P18" s="1">
        <v>4.8410646449180019</v>
      </c>
      <c r="Q18" s="1">
        <v>4.7598263728199948</v>
      </c>
      <c r="R18" s="1">
        <v>4.6643592555509468</v>
      </c>
      <c r="S18" s="1">
        <v>4.5529746447894874</v>
      </c>
      <c r="T18" s="1">
        <v>4.4347585677636117</v>
      </c>
      <c r="U18" s="1">
        <v>4.2696529079008974</v>
      </c>
      <c r="V18" s="1">
        <v>4.1427153720281424</v>
      </c>
      <c r="W18" s="1">
        <v>4.0358131935178161</v>
      </c>
      <c r="X18" s="1">
        <v>3.955018546058775</v>
      </c>
      <c r="Y18" s="1">
        <v>3.8982295074631397</v>
      </c>
      <c r="Z18" s="1">
        <v>3.8593826944243776</v>
      </c>
      <c r="AA18" s="1">
        <v>3.8330635335594838</v>
      </c>
      <c r="AB18" s="1">
        <v>3.8152279243797782</v>
      </c>
    </row>
    <row r="19" spans="1:28" s="12" customFormat="1" x14ac:dyDescent="0.25">
      <c r="A19" s="16"/>
      <c r="B19" s="10" t="s">
        <v>2</v>
      </c>
      <c r="C19" s="5">
        <v>4.5902583014362808</v>
      </c>
      <c r="D19" s="5">
        <v>4.3678679561513052</v>
      </c>
      <c r="E19" s="5">
        <v>4.2421293839211067</v>
      </c>
      <c r="F19" s="5">
        <v>4.2120242151869531</v>
      </c>
      <c r="G19" s="5">
        <v>4.172184377070784</v>
      </c>
      <c r="H19" s="5">
        <v>4.1259128869619488</v>
      </c>
      <c r="I19" s="5">
        <v>4.4052710979494476</v>
      </c>
      <c r="J19" s="5">
        <v>4.9638871472741757</v>
      </c>
      <c r="K19" s="5">
        <v>5.3838477036968921</v>
      </c>
      <c r="L19" s="5">
        <v>5.2541521393725876</v>
      </c>
      <c r="M19" s="5">
        <v>5.2408308832548629</v>
      </c>
      <c r="N19" s="5">
        <v>5.2681488709182789</v>
      </c>
      <c r="O19" s="5">
        <v>5.2843344499120661</v>
      </c>
      <c r="P19" s="5">
        <v>5.254278924090678</v>
      </c>
      <c r="Q19" s="5">
        <v>5.1777732773845644</v>
      </c>
      <c r="R19" s="5">
        <v>5.0614780057258759</v>
      </c>
      <c r="S19" s="5">
        <v>4.9172904210964896</v>
      </c>
      <c r="T19" s="5">
        <v>4.7578053582995885</v>
      </c>
      <c r="U19" s="5">
        <v>4.5939503436947344</v>
      </c>
      <c r="V19" s="5">
        <v>4.4343691020559541</v>
      </c>
      <c r="W19" s="5">
        <v>4.2882867710734178</v>
      </c>
      <c r="X19" s="5">
        <v>4.1731317756942312</v>
      </c>
      <c r="Y19" s="5">
        <v>4.0880407439550339</v>
      </c>
      <c r="Z19" s="5">
        <v>4.0312025227513555</v>
      </c>
      <c r="AA19" s="5">
        <v>4.0008725298706516</v>
      </c>
      <c r="AB19" s="5">
        <v>3.9805420366570408</v>
      </c>
    </row>
    <row r="20" spans="1:28" s="11" customFormat="1" x14ac:dyDescent="0.25">
      <c r="A20" s="15" t="s">
        <v>7</v>
      </c>
      <c r="B20" s="9" t="s">
        <v>0</v>
      </c>
      <c r="C20" s="3">
        <v>3.9338131563546317</v>
      </c>
      <c r="D20" s="3">
        <v>3.6957620609867816</v>
      </c>
      <c r="E20" s="3">
        <v>3.5616985259838181</v>
      </c>
      <c r="F20" s="3">
        <v>3.5283814356794783</v>
      </c>
      <c r="G20" s="3">
        <v>3.4885445107536524</v>
      </c>
      <c r="H20" s="3">
        <v>3.4455482839708838</v>
      </c>
      <c r="I20" s="3">
        <v>3.7280907534894268</v>
      </c>
      <c r="J20" s="3">
        <v>4.2838036314532193</v>
      </c>
      <c r="K20" s="3">
        <v>4.6899300980956662</v>
      </c>
      <c r="L20" s="3">
        <v>4.5483138313665767</v>
      </c>
      <c r="M20" s="3">
        <v>4.5226400585873794</v>
      </c>
      <c r="N20" s="3">
        <v>4.5366330940168469</v>
      </c>
      <c r="O20" s="3">
        <v>4.5331999808377974</v>
      </c>
      <c r="P20" s="3">
        <v>4.4644207392613744</v>
      </c>
      <c r="Q20" s="3">
        <v>4.3475402328188437</v>
      </c>
      <c r="R20" s="3">
        <v>4.1953463894914362</v>
      </c>
      <c r="S20" s="3">
        <v>4.0205213465343634</v>
      </c>
      <c r="T20" s="3">
        <v>3.8350203835357171</v>
      </c>
      <c r="U20" s="3">
        <v>3.6484726757501811</v>
      </c>
      <c r="V20" s="3">
        <v>3.4676877693049803</v>
      </c>
      <c r="W20" s="3">
        <v>3.3082198219860963</v>
      </c>
      <c r="X20" s="3">
        <v>3.1961255627408791</v>
      </c>
      <c r="Y20" s="3">
        <v>3.1150009587425438</v>
      </c>
      <c r="Z20" s="3">
        <v>3.0556800753116584</v>
      </c>
      <c r="AA20" s="3">
        <v>3.0120076653275221</v>
      </c>
      <c r="AB20" s="3">
        <v>2.9791627241339764</v>
      </c>
    </row>
    <row r="21" spans="1:28" x14ac:dyDescent="0.25">
      <c r="A21" s="16"/>
      <c r="B21" s="9" t="s">
        <v>1</v>
      </c>
      <c r="C21" s="1">
        <v>4.2121043407440899</v>
      </c>
      <c r="D21" s="1">
        <v>3.9681052459669193</v>
      </c>
      <c r="E21" s="1">
        <v>3.8078058651868067</v>
      </c>
      <c r="F21" s="1">
        <v>3.7748128803261203</v>
      </c>
      <c r="G21" s="1">
        <v>3.7316344934341901</v>
      </c>
      <c r="H21" s="1">
        <v>3.6910722890456773</v>
      </c>
      <c r="I21" s="1">
        <v>3.9816451257014829</v>
      </c>
      <c r="J21" s="1">
        <v>4.551042163958348</v>
      </c>
      <c r="K21" s="1">
        <v>5.0151850618754574</v>
      </c>
      <c r="L21" s="1">
        <v>4.9185537045384597</v>
      </c>
      <c r="M21" s="1">
        <v>4.9031598376899543</v>
      </c>
      <c r="N21" s="1">
        <v>4.9037288137716502</v>
      </c>
      <c r="O21" s="1">
        <v>4.8833394923017339</v>
      </c>
      <c r="P21" s="1">
        <v>4.7935286119085498</v>
      </c>
      <c r="Q21" s="1">
        <v>4.6638991304292192</v>
      </c>
      <c r="R21" s="1">
        <v>4.5104286600039059</v>
      </c>
      <c r="S21" s="1">
        <v>4.3360485318633719</v>
      </c>
      <c r="T21" s="1">
        <v>4.1133735988678897</v>
      </c>
      <c r="U21" s="1">
        <v>3.9266614696158939</v>
      </c>
      <c r="V21" s="1">
        <v>3.726115176552947</v>
      </c>
      <c r="W21" s="1">
        <v>3.5521291635188792</v>
      </c>
      <c r="X21" s="1">
        <v>3.4318525219328064</v>
      </c>
      <c r="Y21" s="1">
        <v>3.3486289183821585</v>
      </c>
      <c r="Z21" s="1">
        <v>3.2882237507485059</v>
      </c>
      <c r="AA21" s="1">
        <v>3.2382747699636125</v>
      </c>
      <c r="AB21" s="1">
        <v>3.2016889057560625</v>
      </c>
    </row>
    <row r="22" spans="1:28" s="12" customFormat="1" x14ac:dyDescent="0.25">
      <c r="A22" s="17"/>
      <c r="B22" s="10" t="s">
        <v>2</v>
      </c>
      <c r="C22" s="5">
        <v>4.5902583014362808</v>
      </c>
      <c r="D22" s="5">
        <v>4.3678679561513052</v>
      </c>
      <c r="E22" s="5">
        <v>4.2421293839211067</v>
      </c>
      <c r="F22" s="5">
        <v>4.2120242151869531</v>
      </c>
      <c r="G22" s="5">
        <v>4.172184377070784</v>
      </c>
      <c r="H22" s="5">
        <v>4.1259128869619488</v>
      </c>
      <c r="I22" s="5">
        <v>4.4052710979494476</v>
      </c>
      <c r="J22" s="5">
        <v>4.9638871472741757</v>
      </c>
      <c r="K22" s="5">
        <v>5.3838477036968921</v>
      </c>
      <c r="L22" s="5">
        <v>5.2541521393725876</v>
      </c>
      <c r="M22" s="5">
        <v>5.2408308832548629</v>
      </c>
      <c r="N22" s="5">
        <v>5.2681488377984529</v>
      </c>
      <c r="O22" s="5">
        <v>5.2750758907705224</v>
      </c>
      <c r="P22" s="5">
        <v>5.2075068147922172</v>
      </c>
      <c r="Q22" s="5">
        <v>5.0796756334308109</v>
      </c>
      <c r="R22" s="5">
        <v>4.9041713081396079</v>
      </c>
      <c r="S22" s="5">
        <v>4.6958333748879424</v>
      </c>
      <c r="T22" s="5">
        <v>4.4698976184345653</v>
      </c>
      <c r="U22" s="5">
        <v>4.2394550683011136</v>
      </c>
      <c r="V22" s="5">
        <v>4.0146232294588957</v>
      </c>
      <c r="W22" s="5">
        <v>3.8135040832975533</v>
      </c>
      <c r="X22" s="5">
        <v>3.665482341515276</v>
      </c>
      <c r="Y22" s="5">
        <v>3.5558543339218778</v>
      </c>
      <c r="Z22" s="5">
        <v>3.4746669297742061</v>
      </c>
      <c r="AA22" s="5">
        <v>3.4145238820301991</v>
      </c>
      <c r="AB22" s="5">
        <v>3.3694470393526861</v>
      </c>
    </row>
    <row r="25" spans="1:28" x14ac:dyDescent="0.25">
      <c r="A25" s="7" t="s">
        <v>13</v>
      </c>
    </row>
    <row r="26" spans="1:28" x14ac:dyDescent="0.25">
      <c r="A26" s="2" t="s">
        <v>17</v>
      </c>
    </row>
    <row r="27" spans="1:28" x14ac:dyDescent="0.25">
      <c r="A27" s="6" t="s">
        <v>10</v>
      </c>
    </row>
    <row r="28" spans="1:28" x14ac:dyDescent="0.25">
      <c r="A28" s="2" t="s">
        <v>12</v>
      </c>
    </row>
  </sheetData>
  <mergeCells count="6">
    <mergeCell ref="A20:A22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Prevalence Rates</vt:lpstr>
      <vt:lpstr>Incidence Rates</vt:lpstr>
      <vt:lpstr>Incidence 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Ahmad, Isa</cp:lastModifiedBy>
  <dcterms:created xsi:type="dcterms:W3CDTF">2025-07-01T08:43:48Z</dcterms:created>
  <dcterms:modified xsi:type="dcterms:W3CDTF">2025-12-23T12:26:38Z</dcterms:modified>
</cp:coreProperties>
</file>